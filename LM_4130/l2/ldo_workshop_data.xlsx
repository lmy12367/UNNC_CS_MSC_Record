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1206\Desktop\"/>
    </mc:Choice>
  </mc:AlternateContent>
  <xr:revisionPtr revIDLastSave="0" documentId="13_ncr:1_{04E37071-B52C-49D0-85BC-C44606789D7F}" xr6:coauthVersionLast="47" xr6:coauthVersionMax="47" xr10:uidLastSave="{00000000-0000-0000-0000-000000000000}"/>
  <bookViews>
    <workbookView xWindow="-110" yWindow="-110" windowWidth="25820" windowHeight="13900" tabRatio="851" xr2:uid="{00000000-000D-0000-FFFF-FFFF00000000}"/>
  </bookViews>
  <sheets>
    <sheet name="PaperRecycling" sheetId="47" r:id="rId1"/>
  </sheets>
  <definedNames>
    <definedName name="sencount" hidden="1">2</definedName>
    <definedName name="solver_adj" localSheetId="0" hidden="1">PaperRecycling!$C$18:$E$20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PaperRecycling!$C$11</definedName>
    <definedName name="solver_lhs10" localSheetId="0" hidden="1">PaperRecycling!#REF!</definedName>
    <definedName name="solver_lhs2" localSheetId="0" hidden="1">PaperRecycling!$D$11</definedName>
    <definedName name="solver_lhs3" localSheetId="0" hidden="1">PaperRecycling!$D$24</definedName>
    <definedName name="solver_lhs4" localSheetId="0" hidden="1">PaperRecycling!$E$11</definedName>
    <definedName name="solver_lhs5" localSheetId="0" hidden="1">PaperRecycling!$H$18</definedName>
    <definedName name="solver_lhs6" localSheetId="0" hidden="1">PaperRecycling!$H$19</definedName>
    <definedName name="solver_lhs7" localSheetId="0" hidden="1">PaperRecycling!$H$20</definedName>
    <definedName name="solver_lhs8" localSheetId="0" hidden="1">PaperRecycling!#REF!</definedName>
    <definedName name="solver_lhs9" localSheetId="0" hidden="1">PaperRecycling!#REF!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tri" hidden="1">1000</definedName>
    <definedName name="solver_num" localSheetId="0" hidden="1">7</definedName>
    <definedName name="solver_nwt" localSheetId="0" hidden="1">1</definedName>
    <definedName name="solver_opt" localSheetId="0" hidden="1">PaperRecycling!$H$14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3</definedName>
    <definedName name="solver_rel9" localSheetId="0" hidden="1">3</definedName>
    <definedName name="solver_rhs1" localSheetId="0" hidden="1">PaperRecycling!$C$8</definedName>
    <definedName name="solver_rhs10" localSheetId="0" hidden="1">PaperRecycling!#REF!</definedName>
    <definedName name="solver_rhs2" localSheetId="0" hidden="1">PaperRecycling!$D$8</definedName>
    <definedName name="solver_rhs3" localSheetId="0" hidden="1">PaperRecycling!$E$11</definedName>
    <definedName name="solver_rhs4" localSheetId="0" hidden="1">PaperRecycling!$E$8</definedName>
    <definedName name="solver_rhs5" localSheetId="0" hidden="1">PaperRecycling!$J$18</definedName>
    <definedName name="solver_rhs6" localSheetId="0" hidden="1">PaperRecycling!$J$19</definedName>
    <definedName name="solver_rhs7" localSheetId="0" hidden="1">PaperRecycling!$J$20</definedName>
    <definedName name="solver_rhs8" localSheetId="0" hidden="1">PaperRecycling!#REF!</definedName>
    <definedName name="solver_rhs9" localSheetId="0" hidden="1">PaperRecycling!#REF!</definedName>
    <definedName name="solver_rlx" localSheetId="0" hidden="1">1</definedName>
    <definedName name="solver_rsd" localSheetId="0" hidden="1">0</definedName>
    <definedName name="solver_rsmp" hidden="1">2</definedName>
    <definedName name="solver_scl" localSheetId="0" hidden="1">1</definedName>
    <definedName name="solver_seed" hidden="1">0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7" l="1"/>
  <c r="H19" i="47"/>
  <c r="H18" i="47"/>
  <c r="E11" i="47"/>
  <c r="E14" i="47" s="1"/>
  <c r="D11" i="47"/>
  <c r="D14" i="47" s="1"/>
  <c r="C11" i="47"/>
  <c r="C14" i="47" s="1"/>
  <c r="H8" i="47"/>
  <c r="D24" i="47" l="1"/>
  <c r="H14" i="47"/>
  <c r="H11" i="47"/>
</calcChain>
</file>

<file path=xl/sharedStrings.xml><?xml version="1.0" encoding="utf-8"?>
<sst xmlns="http://schemas.openxmlformats.org/spreadsheetml/2006/main" count="36" uniqueCount="23">
  <si>
    <t xml:space="preserve">PAPER RECYCLING Problem </t>
  </si>
  <si>
    <t>Yield of Paper Types</t>
  </si>
  <si>
    <t>Office Paper</t>
  </si>
  <si>
    <t>Catalogue Paper</t>
  </si>
  <si>
    <t>Tan Stock</t>
  </si>
  <si>
    <t>White Paper</t>
  </si>
  <si>
    <t>Mixed Paper</t>
  </si>
  <si>
    <t>Newsprint</t>
  </si>
  <si>
    <t>Total Demand</t>
  </si>
  <si>
    <t>Demand</t>
  </si>
  <si>
    <t>&gt;=</t>
  </si>
  <si>
    <t>Total Production</t>
  </si>
  <si>
    <t>Produced</t>
  </si>
  <si>
    <t>Selling Price</t>
  </si>
  <si>
    <t>Total Sales</t>
  </si>
  <si>
    <t>Sales</t>
  </si>
  <si>
    <t>Production Plan of Paper</t>
  </si>
  <si>
    <t>Used</t>
  </si>
  <si>
    <t>Available</t>
  </si>
  <si>
    <t>White Paper To</t>
  </si>
  <si>
    <t>&lt;=</t>
  </si>
  <si>
    <t>Mixed Paper To</t>
  </si>
  <si>
    <t>Newsprint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</si>
</sst>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&quot;$&quot;#,##0.00_);[Red]\(&quot;$&quot;#,##0.00\)"/>
  </numFmts>
  <fonts count="8">
    <font>
      <sz val="10"/>
      <name val="Arial"/>
      <charset val="134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Geneva"/>
      <family val="1"/>
    </font>
    <font>
      <sz val="11"/>
      <color theme="1"/>
      <name val="宋体"/>
      <family val="3"/>
      <charset val="134"/>
      <scheme val="minor"/>
    </font>
    <font>
      <sz val="10"/>
      <name val="MS Sans Serif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8F7CB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>
      <alignment vertical="center"/>
    </xf>
    <xf numFmtId="0" fontId="1" fillId="0" borderId="0"/>
    <xf numFmtId="0" fontId="6" fillId="0" borderId="0"/>
  </cellStyleXfs>
  <cellXfs count="12">
    <xf numFmtId="0" fontId="0" fillId="0" borderId="0" xfId="0"/>
    <xf numFmtId="0" fontId="1" fillId="0" borderId="0" xfId="4"/>
    <xf numFmtId="0" fontId="2" fillId="0" borderId="0" xfId="0" applyFont="1"/>
    <xf numFmtId="0" fontId="3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4" applyFont="1"/>
    <xf numFmtId="0" fontId="1" fillId="0" borderId="0" xfId="4" applyAlignment="1">
      <alignment horizontal="center"/>
    </xf>
    <xf numFmtId="0" fontId="1" fillId="2" borderId="0" xfId="4" applyFill="1" applyAlignment="1">
      <alignment horizontal="center"/>
    </xf>
    <xf numFmtId="0" fontId="3" fillId="3" borderId="0" xfId="4" applyFont="1" applyFill="1" applyAlignment="1">
      <alignment horizontal="center"/>
    </xf>
    <xf numFmtId="0" fontId="1" fillId="4" borderId="0" xfId="4" applyFill="1" applyAlignment="1">
      <alignment horizontal="center"/>
    </xf>
    <xf numFmtId="0" fontId="3" fillId="0" borderId="0" xfId="4" applyFont="1" applyAlignment="1">
      <alignment horizontal="center"/>
    </xf>
    <xf numFmtId="0" fontId="0" fillId="0" borderId="0" xfId="0" applyAlignment="1">
      <alignment horizontal="center"/>
    </xf>
  </cellXfs>
  <cellStyles count="8">
    <cellStyle name="Comma 2" xfId="1" xr:uid="{00000000-0005-0000-0000-000031000000}"/>
    <cellStyle name="Currency 2" xfId="2" xr:uid="{00000000-0005-0000-0000-000032000000}"/>
    <cellStyle name="Normal 2" xfId="3" xr:uid="{00000000-0005-0000-0000-000033000000}"/>
    <cellStyle name="Normal 2 2" xfId="4" xr:uid="{00000000-0005-0000-0000-000034000000}"/>
    <cellStyle name="Normal 3" xfId="5" xr:uid="{00000000-0005-0000-0000-000035000000}"/>
    <cellStyle name="Normal 4" xfId="6" xr:uid="{00000000-0005-0000-0000-000036000000}"/>
    <cellStyle name="Normal 5" xfId="7" xr:uid="{00000000-0005-0000-0000-000037000000}"/>
    <cellStyle name="常规" xfId="0" builtinId="0"/>
  </cellStyles>
  <dxfs count="0"/>
  <tableStyles count="0" defaultTableStyle="TableStyleMedium9" defaultPivotStyle="PivotStyleLight16"/>
  <colors>
    <mruColors>
      <color rgb="FF99FFCC"/>
      <color rgb="FF8F7CBF"/>
      <color rgb="FF7254C1"/>
      <color rgb="FFA22D9F"/>
      <color rgb="FFCCFFCC"/>
      <color rgb="FFFFFFCC"/>
      <color rgb="FF9999FF"/>
      <color rgb="FFFFFF99"/>
      <color rgb="FFFFCC99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3" workbookViewId="0">
      <selection activeCell="D24" sqref="D24"/>
    </sheetView>
  </sheetViews>
  <sheetFormatPr defaultColWidth="9.1796875" defaultRowHeight="12.5"/>
  <cols>
    <col min="1" max="1" width="9.1796875" style="1"/>
    <col min="2" max="2" width="16" style="1" customWidth="1"/>
    <col min="3" max="3" width="24.6328125" style="1" customWidth="1"/>
    <col min="4" max="4" width="24.1796875" style="1" customWidth="1"/>
    <col min="5" max="5" width="23" style="1" customWidth="1"/>
    <col min="6" max="6" width="12.81640625" style="1" customWidth="1"/>
    <col min="7" max="7" width="12.6328125" style="1" customWidth="1"/>
    <col min="8" max="8" width="26.81640625" style="1" customWidth="1"/>
    <col min="9" max="9" width="9.1796875" style="1"/>
    <col min="10" max="10" width="16" style="1" customWidth="1"/>
    <col min="11" max="16384" width="9.1796875" style="1"/>
  </cols>
  <sheetData>
    <row r="1" spans="1:8" ht="18">
      <c r="A1" s="2" t="s">
        <v>0</v>
      </c>
    </row>
    <row r="2" spans="1:8" ht="13">
      <c r="C2" s="10" t="s">
        <v>1</v>
      </c>
      <c r="D2" s="11"/>
      <c r="E2" s="11"/>
    </row>
    <row r="3" spans="1:8" ht="13">
      <c r="C3" s="3" t="s">
        <v>2</v>
      </c>
      <c r="D3" s="3" t="s">
        <v>3</v>
      </c>
      <c r="E3" s="3" t="s">
        <v>4</v>
      </c>
    </row>
    <row r="4" spans="1:8" ht="13">
      <c r="B4" s="5" t="s">
        <v>5</v>
      </c>
      <c r="C4" s="6">
        <v>0.85</v>
      </c>
      <c r="D4" s="6">
        <v>0.9</v>
      </c>
      <c r="E4" s="6">
        <v>0.95</v>
      </c>
    </row>
    <row r="5" spans="1:8" ht="13">
      <c r="B5" s="5" t="s">
        <v>6</v>
      </c>
      <c r="C5" s="6">
        <v>0.6</v>
      </c>
      <c r="D5" s="6">
        <v>0.6</v>
      </c>
      <c r="E5" s="6">
        <v>0.8</v>
      </c>
    </row>
    <row r="6" spans="1:8" ht="13">
      <c r="B6" s="5" t="s">
        <v>7</v>
      </c>
      <c r="C6" s="6">
        <v>0</v>
      </c>
      <c r="D6" s="6">
        <v>0.75</v>
      </c>
      <c r="E6" s="6">
        <v>0.6</v>
      </c>
    </row>
    <row r="7" spans="1:8" ht="13">
      <c r="H7" s="3" t="s">
        <v>8</v>
      </c>
    </row>
    <row r="8" spans="1:8">
      <c r="B8" s="1" t="s">
        <v>9</v>
      </c>
      <c r="C8" s="6">
        <v>150</v>
      </c>
      <c r="D8" s="6">
        <v>750</v>
      </c>
      <c r="E8" s="6">
        <v>550</v>
      </c>
      <c r="H8" s="7">
        <f>SUM(C8:E8)</f>
        <v>1450</v>
      </c>
    </row>
    <row r="9" spans="1:8">
      <c r="C9" s="6" t="s">
        <v>10</v>
      </c>
      <c r="D9" s="6" t="s">
        <v>10</v>
      </c>
      <c r="E9" s="6" t="s">
        <v>10</v>
      </c>
    </row>
    <row r="10" spans="1:8" ht="13">
      <c r="C10" s="3" t="s">
        <v>2</v>
      </c>
      <c r="D10" s="3" t="s">
        <v>3</v>
      </c>
      <c r="E10" s="3" t="s">
        <v>4</v>
      </c>
      <c r="H10" s="3" t="s">
        <v>11</v>
      </c>
    </row>
    <row r="11" spans="1:8" ht="13">
      <c r="B11" s="5" t="s">
        <v>12</v>
      </c>
      <c r="C11" s="7">
        <f>0.85*C18+0.6*C19</f>
        <v>150.00000000000003</v>
      </c>
      <c r="D11" s="7">
        <f>0.9*D18+0.6*D19+0.75*D20</f>
        <v>411.17647058823525</v>
      </c>
      <c r="E11" s="7">
        <f>0.95*E18+0.8*E19+0.6*E20</f>
        <v>480</v>
      </c>
      <c r="H11" s="7">
        <f>SUM(C11:E11)</f>
        <v>1041.1764705882351</v>
      </c>
    </row>
    <row r="13" spans="1:8" ht="13">
      <c r="B13" s="5" t="s">
        <v>13</v>
      </c>
      <c r="C13" s="6">
        <v>25</v>
      </c>
      <c r="D13" s="6">
        <v>20</v>
      </c>
      <c r="E13" s="6">
        <v>18</v>
      </c>
      <c r="H13" s="3" t="s">
        <v>14</v>
      </c>
    </row>
    <row r="14" spans="1:8" ht="13">
      <c r="B14" s="5" t="s">
        <v>15</v>
      </c>
      <c r="C14" s="7">
        <f>25*C11</f>
        <v>3750.0000000000009</v>
      </c>
      <c r="D14" s="7">
        <f>20*D11</f>
        <v>8223.5294117647045</v>
      </c>
      <c r="E14" s="7">
        <f>18*E11</f>
        <v>8640</v>
      </c>
      <c r="H14" s="8">
        <f>SUM(C14:E14)</f>
        <v>20613.529411764706</v>
      </c>
    </row>
    <row r="15" spans="1:8" ht="13">
      <c r="C15" s="3"/>
      <c r="D15" s="4"/>
      <c r="E15" s="4"/>
    </row>
    <row r="16" spans="1:8" ht="13">
      <c r="C16" s="10" t="s">
        <v>16</v>
      </c>
      <c r="D16" s="11"/>
      <c r="E16" s="11"/>
    </row>
    <row r="17" spans="2:10" ht="13">
      <c r="C17" s="3" t="s">
        <v>2</v>
      </c>
      <c r="D17" s="3" t="s">
        <v>3</v>
      </c>
      <c r="E17" s="3" t="s">
        <v>4</v>
      </c>
      <c r="H17" s="3" t="s">
        <v>17</v>
      </c>
      <c r="J17" s="3" t="s">
        <v>18</v>
      </c>
    </row>
    <row r="18" spans="2:10" ht="13">
      <c r="B18" s="5" t="s">
        <v>19</v>
      </c>
      <c r="C18" s="9">
        <v>176.47058823529414</v>
      </c>
      <c r="D18" s="9">
        <v>123.52941176470583</v>
      </c>
      <c r="E18" s="9">
        <v>0</v>
      </c>
      <c r="G18" s="5" t="s">
        <v>5</v>
      </c>
      <c r="H18" s="7">
        <f>SUM(C18:E18)</f>
        <v>300</v>
      </c>
      <c r="I18" s="6" t="s">
        <v>20</v>
      </c>
      <c r="J18" s="6">
        <v>300</v>
      </c>
    </row>
    <row r="19" spans="2:10" ht="13">
      <c r="B19" s="5" t="s">
        <v>21</v>
      </c>
      <c r="C19" s="9">
        <v>0</v>
      </c>
      <c r="D19" s="9">
        <v>0</v>
      </c>
      <c r="E19" s="9">
        <v>600</v>
      </c>
      <c r="G19" s="5" t="s">
        <v>6</v>
      </c>
      <c r="H19" s="7">
        <f>SUM(C19:E19)</f>
        <v>600</v>
      </c>
      <c r="I19" s="6" t="s">
        <v>20</v>
      </c>
      <c r="J19" s="6">
        <v>600</v>
      </c>
    </row>
    <row r="20" spans="2:10" ht="13">
      <c r="B20" s="5" t="s">
        <v>22</v>
      </c>
      <c r="C20" s="9">
        <v>0</v>
      </c>
      <c r="D20" s="9">
        <v>400</v>
      </c>
      <c r="E20" s="9">
        <v>0</v>
      </c>
      <c r="G20" s="5" t="s">
        <v>22</v>
      </c>
      <c r="H20" s="7">
        <f>SUM(C20:E20)</f>
        <v>400</v>
      </c>
      <c r="I20" s="6" t="s">
        <v>20</v>
      </c>
      <c r="J20" s="6">
        <v>400</v>
      </c>
    </row>
    <row r="24" spans="2:10">
      <c r="D24" s="1">
        <f>C11*2</f>
        <v>300.00000000000006</v>
      </c>
    </row>
  </sheetData>
  <mergeCells count="2">
    <mergeCell ref="C2:E2"/>
    <mergeCell ref="C16:E16"/>
  </mergeCells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PaperRecycling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dcterms:created xsi:type="dcterms:W3CDTF">2007-10-21T20:35:00Z</dcterms:created>
  <dcterms:modified xsi:type="dcterms:W3CDTF">2025-10-08T04:52:04Z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5D5EFDA78330404BA02435DBA78C3059_12</vt:lpwstr>
  </property>
  <property fmtid="{D5CDD505-2E9C-101B-9397-08002B2CF9AE}" pid="3" name="KSOProductBuildVer">
    <vt:lpwstr>2052-12.1.0.22529</vt:lpwstr>
  </property>
</Properties>
</file>