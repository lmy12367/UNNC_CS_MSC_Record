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11206\Desktop\"/>
    </mc:Choice>
  </mc:AlternateContent>
  <xr:revisionPtr revIDLastSave="0" documentId="13_ncr:1_{F00E511A-D2A1-4A32-AFA5-0459E751F1D9}" xr6:coauthVersionLast="47" xr6:coauthVersionMax="47" xr10:uidLastSave="{00000000-0000-0000-0000-000000000000}"/>
  <bookViews>
    <workbookView xWindow="-110" yWindow="-110" windowWidth="25820" windowHeight="13900" tabRatio="851" xr2:uid="{00000000-000D-0000-FFFF-FFFF00000000}"/>
  </bookViews>
  <sheets>
    <sheet name="运算结果报告 1" sheetId="48" r:id="rId1"/>
    <sheet name="敏感性报告 1" sheetId="49" r:id="rId2"/>
    <sheet name="极限值报告 1" sheetId="50" r:id="rId3"/>
    <sheet name="PaperRecycling" sheetId="47" r:id="rId4"/>
  </sheets>
  <definedNames>
    <definedName name="sencount" hidden="1">2</definedName>
    <definedName name="solver_adj" localSheetId="3" hidden="1">PaperRecycling!$C$19:$E$21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PaperRecycling!$C$11</definedName>
    <definedName name="solver_lhs10" localSheetId="3" hidden="1">PaperRecycling!#REF!</definedName>
    <definedName name="solver_lhs2" localSheetId="3" hidden="1">PaperRecycling!$D$11</definedName>
    <definedName name="solver_lhs3" localSheetId="3" hidden="1">PaperRecycling!$E$11</definedName>
    <definedName name="solver_lhs4" localSheetId="3" hidden="1">PaperRecycling!$H$19</definedName>
    <definedName name="solver_lhs5" localSheetId="3" hidden="1">PaperRecycling!$H$20</definedName>
    <definedName name="solver_lhs6" localSheetId="3" hidden="1">PaperRecycling!$H$21</definedName>
    <definedName name="solver_lhs7" localSheetId="3" hidden="1">PaperRecycling!#REF!</definedName>
    <definedName name="solver_lhs8" localSheetId="3" hidden="1">PaperRecycling!#REF!</definedName>
    <definedName name="solver_lhs9" localSheetId="3" hidden="1">PaperRecycling!#REF!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tri" hidden="1">1000</definedName>
    <definedName name="solver_num" localSheetId="3" hidden="1">6</definedName>
    <definedName name="solver_nwt" localSheetId="3" hidden="1">1</definedName>
    <definedName name="solver_opt" localSheetId="3" hidden="1">PaperRecycling!$H$15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10" localSheetId="3" hidden="1">3</definedName>
    <definedName name="solver_rel2" localSheetId="3" hidden="1">1</definedName>
    <definedName name="solver_rel3" localSheetId="3" hidden="1">1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el7" localSheetId="3" hidden="1">3</definedName>
    <definedName name="solver_rel8" localSheetId="3" hidden="1">3</definedName>
    <definedName name="solver_rel9" localSheetId="3" hidden="1">3</definedName>
    <definedName name="solver_rhs1" localSheetId="3" hidden="1">PaperRecycling!$C$8</definedName>
    <definedName name="solver_rhs10" localSheetId="3" hidden="1">PaperRecycling!#REF!</definedName>
    <definedName name="solver_rhs2" localSheetId="3" hidden="1">PaperRecycling!$D$8</definedName>
    <definedName name="solver_rhs3" localSheetId="3" hidden="1">PaperRecycling!$E$8</definedName>
    <definedName name="solver_rhs4" localSheetId="3" hidden="1">PaperRecycling!$J$19</definedName>
    <definedName name="solver_rhs5" localSheetId="3" hidden="1">PaperRecycling!$J$20</definedName>
    <definedName name="solver_rhs6" localSheetId="3" hidden="1">PaperRecycling!$J$21</definedName>
    <definedName name="solver_rhs7" localSheetId="3" hidden="1">PaperRecycling!#REF!*PaperRecycling!#REF!</definedName>
    <definedName name="solver_rhs8" localSheetId="3" hidden="1">PaperRecycling!#REF!</definedName>
    <definedName name="solver_rhs9" localSheetId="3" hidden="1">PaperRecycling!#REF!</definedName>
    <definedName name="solver_rlx" localSheetId="3" hidden="1">1</definedName>
    <definedName name="solver_rsd" localSheetId="3" hidden="1">0</definedName>
    <definedName name="solver_rsmp" hidden="1">2</definedName>
    <definedName name="solver_scl" localSheetId="3" hidden="1">1</definedName>
    <definedName name="solver_seed" hidden="1">0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7" l="1"/>
  <c r="H20" i="47"/>
  <c r="H19" i="47"/>
  <c r="E11" i="47"/>
  <c r="E15" i="47" s="1"/>
  <c r="D11" i="47"/>
  <c r="D15" i="47" s="1"/>
  <c r="C11" i="47"/>
  <c r="H8" i="47"/>
  <c r="H11" i="47" l="1"/>
  <c r="C15" i="47"/>
  <c r="H15" i="47" s="1"/>
</calcChain>
</file>

<file path=xl/sharedStrings.xml><?xml version="1.0" encoding="utf-8"?>
<sst xmlns="http://schemas.openxmlformats.org/spreadsheetml/2006/main" count="219" uniqueCount="107">
  <si>
    <t xml:space="preserve">PAPER RECYCLING Problem </t>
  </si>
  <si>
    <t>Yield of Paper Types</t>
  </si>
  <si>
    <t>Office Paper</t>
  </si>
  <si>
    <t>Catalogue Paper</t>
  </si>
  <si>
    <t>Tan Stock</t>
  </si>
  <si>
    <t>White Paper</t>
  </si>
  <si>
    <t>Mixed Paper</t>
  </si>
  <si>
    <t>Newsprint</t>
  </si>
  <si>
    <t>Total Demand</t>
  </si>
  <si>
    <t>Demand</t>
  </si>
  <si>
    <t>&gt;=</t>
  </si>
  <si>
    <t>Total Production</t>
  </si>
  <si>
    <t>Produced</t>
  </si>
  <si>
    <t>Selling Price</t>
  </si>
  <si>
    <t>Total Sales</t>
  </si>
  <si>
    <t>Sales</t>
  </si>
  <si>
    <t>Production Plan of Paper</t>
  </si>
  <si>
    <t>Used</t>
  </si>
  <si>
    <t>Available</t>
  </si>
  <si>
    <t>White Paper To</t>
  </si>
  <si>
    <t>&lt;=</t>
  </si>
  <si>
    <t>Mixed Paper To</t>
  </si>
  <si>
    <t>Newsprint To</t>
  </si>
  <si>
    <t>Microsoft Excel 16.0 运算结果报告</t>
  </si>
  <si>
    <t>工作表: [ldo_workshop2_2025.xlsx]PaperRecycling</t>
  </si>
  <si>
    <t>报告的建立: 2025/9/30 16:45:19</t>
  </si>
  <si>
    <t>结果: 规划求解找到一解，可满足所有的约束及最优状况。</t>
  </si>
  <si>
    <t>规划求解引擎</t>
  </si>
  <si>
    <t>引擎: 单纯线性规划</t>
  </si>
  <si>
    <t>求解时间: 0.109 秒。</t>
  </si>
  <si>
    <t>迭代次数: 4 子问题: 0</t>
  </si>
  <si>
    <t>规划求解选项</t>
  </si>
  <si>
    <t>最大时间 无限制,  迭代 无限制, Precision 0.000001, 使用自动缩放</t>
  </si>
  <si>
    <t>最大子问题数目 无限制, 最大整数解数目 无限制, 整数允许误差 1%, 无整数约束的求解, 假设为非负数</t>
  </si>
  <si>
    <t>目标单元格 (最大值)</t>
  </si>
  <si>
    <t>单元格</t>
  </si>
  <si>
    <t>名称</t>
  </si>
  <si>
    <t>初值</t>
  </si>
  <si>
    <t>终值</t>
  </si>
  <si>
    <t>可变单元格</t>
  </si>
  <si>
    <t>整数</t>
  </si>
  <si>
    <t>约束</t>
  </si>
  <si>
    <t>单元格值</t>
  </si>
  <si>
    <t>公式</t>
  </si>
  <si>
    <t>状态</t>
  </si>
  <si>
    <t>型数值</t>
  </si>
  <si>
    <t>$H$14</t>
  </si>
  <si>
    <t>Sales Total Sales</t>
  </si>
  <si>
    <t>$C$18</t>
  </si>
  <si>
    <t>White Paper To Office Paper</t>
  </si>
  <si>
    <t>$D$18</t>
  </si>
  <si>
    <t>White Paper To Catalogue Paper</t>
  </si>
  <si>
    <t>$E$18</t>
  </si>
  <si>
    <t>White Paper To Tan Stock</t>
  </si>
  <si>
    <t>$C$19</t>
  </si>
  <si>
    <t>Mixed Paper To Office Paper</t>
  </si>
  <si>
    <t>$D$19</t>
  </si>
  <si>
    <t>Mixed Paper To Catalogue Paper</t>
  </si>
  <si>
    <t>$E$19</t>
  </si>
  <si>
    <t>Mixed Paper To Tan Stock</t>
  </si>
  <si>
    <t>$C$20</t>
  </si>
  <si>
    <t>Newsprint To Office Paper</t>
  </si>
  <si>
    <t>$D$20</t>
  </si>
  <si>
    <t>Newsprint To Catalogue Paper</t>
  </si>
  <si>
    <t>$E$20</t>
  </si>
  <si>
    <t>Newsprint To Tan Stock</t>
  </si>
  <si>
    <t>$C$11</t>
  </si>
  <si>
    <t>Produced Office Paper</t>
  </si>
  <si>
    <t>$C$11&lt;=$C$8</t>
  </si>
  <si>
    <t>到达限制值</t>
  </si>
  <si>
    <t>$D$11</t>
  </si>
  <si>
    <t>Produced Catalogue Paper</t>
  </si>
  <si>
    <t>$D$11&lt;=$D$8</t>
  </si>
  <si>
    <t>未到限制值</t>
  </si>
  <si>
    <t>$E$11</t>
  </si>
  <si>
    <t>Produced Tan Stock</t>
  </si>
  <si>
    <t>$E$11&lt;=$E$8</t>
  </si>
  <si>
    <t>$H$18</t>
  </si>
  <si>
    <t>White Paper Used</t>
  </si>
  <si>
    <t>$H$18&lt;=$J$18</t>
  </si>
  <si>
    <t>$H$19</t>
  </si>
  <si>
    <t>Mixed Paper Used</t>
  </si>
  <si>
    <t>$H$19&lt;=$J$19</t>
  </si>
  <si>
    <t>$H$20</t>
  </si>
  <si>
    <t>Newsprint To Used</t>
  </si>
  <si>
    <t>$H$20&lt;=$J$20</t>
  </si>
  <si>
    <t>$C$18:$E$20</t>
  </si>
  <si>
    <t>Microsoft Excel 16.0 敏感性报告</t>
  </si>
  <si>
    <t>终</t>
  </si>
  <si>
    <t>值</t>
  </si>
  <si>
    <t>递减</t>
  </si>
  <si>
    <t>成本</t>
  </si>
  <si>
    <t>目标式</t>
  </si>
  <si>
    <t>系数</t>
  </si>
  <si>
    <t>允许的</t>
  </si>
  <si>
    <t>增量</t>
  </si>
  <si>
    <t>减量</t>
  </si>
  <si>
    <t>阴影</t>
  </si>
  <si>
    <t>价格</t>
  </si>
  <si>
    <t>限制值</t>
  </si>
  <si>
    <t>Microsoft Excel 16.0 极限值报告</t>
  </si>
  <si>
    <t>报告的建立: 2025/9/30 16:45:21</t>
  </si>
  <si>
    <t>变量</t>
  </si>
  <si>
    <t>下限</t>
  </si>
  <si>
    <t>极限</t>
  </si>
  <si>
    <t>结果</t>
  </si>
  <si>
    <t>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</si>
</sst>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&quot;$&quot;#,##0.00_);[Red]\(&quot;$&quot;#,##0.00\)"/>
  </numFmts>
  <fonts count="9">
    <font>
      <sz val="10"/>
      <name val="Arial"/>
      <charset val="134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Geneva"/>
      <family val="1"/>
    </font>
    <font>
      <sz val="11"/>
      <color theme="1"/>
      <name val="宋体"/>
      <family val="3"/>
      <charset val="134"/>
      <scheme val="minor"/>
    </font>
    <font>
      <sz val="10"/>
      <name val="MS Sans Serif"/>
      <family val="1"/>
    </font>
    <font>
      <sz val="9"/>
      <name val="Arial"/>
      <family val="2"/>
    </font>
    <font>
      <b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8F7CB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8">
    <xf numFmtId="0" fontId="0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/>
    <xf numFmtId="0" fontId="1" fillId="0" borderId="0"/>
    <xf numFmtId="0" fontId="5" fillId="0" borderId="0">
      <alignment vertical="center"/>
    </xf>
    <xf numFmtId="0" fontId="1" fillId="0" borderId="0"/>
    <xf numFmtId="0" fontId="6" fillId="0" borderId="0"/>
  </cellStyleXfs>
  <cellXfs count="27">
    <xf numFmtId="0" fontId="0" fillId="0" borderId="0" xfId="0"/>
    <xf numFmtId="0" fontId="1" fillId="0" borderId="0" xfId="4"/>
    <xf numFmtId="0" fontId="2" fillId="0" borderId="0" xfId="0" applyFont="1"/>
    <xf numFmtId="0" fontId="3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4" applyFont="1"/>
    <xf numFmtId="0" fontId="1" fillId="0" borderId="0" xfId="4" applyAlignment="1">
      <alignment horizontal="center"/>
    </xf>
    <xf numFmtId="0" fontId="1" fillId="2" borderId="0" xfId="4" applyFill="1" applyAlignment="1">
      <alignment horizontal="center"/>
    </xf>
    <xf numFmtId="0" fontId="3" fillId="3" borderId="0" xfId="4" applyFont="1" applyFill="1" applyAlignment="1">
      <alignment horizontal="center"/>
    </xf>
    <xf numFmtId="0" fontId="1" fillId="4" borderId="0" xfId="4" applyFill="1" applyAlignment="1">
      <alignment horizontal="center"/>
    </xf>
    <xf numFmtId="0" fontId="3" fillId="0" borderId="0" xfId="4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0" fillId="0" borderId="4" xfId="0" applyFill="1" applyBorder="1" applyAlignment="1"/>
    <xf numFmtId="0" fontId="8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1" fillId="0" borderId="5" xfId="0" applyFont="1" applyFill="1" applyBorder="1" applyAlignment="1"/>
    <xf numFmtId="0" fontId="1" fillId="0" borderId="4" xfId="0" applyFont="1" applyFill="1" applyBorder="1" applyAlignment="1"/>
    <xf numFmtId="0" fontId="8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3" fillId="0" borderId="0" xfId="4" applyFont="1" applyAlignment="1">
      <alignment horizontal="left"/>
    </xf>
  </cellXfs>
  <cellStyles count="8">
    <cellStyle name="Comma 2" xfId="1" xr:uid="{00000000-0005-0000-0000-000031000000}"/>
    <cellStyle name="Currency 2" xfId="2" xr:uid="{00000000-0005-0000-0000-000032000000}"/>
    <cellStyle name="Normal 2" xfId="3" xr:uid="{00000000-0005-0000-0000-000033000000}"/>
    <cellStyle name="Normal 2 2" xfId="4" xr:uid="{00000000-0005-0000-0000-000034000000}"/>
    <cellStyle name="Normal 3" xfId="5" xr:uid="{00000000-0005-0000-0000-000035000000}"/>
    <cellStyle name="Normal 4" xfId="6" xr:uid="{00000000-0005-0000-0000-000036000000}"/>
    <cellStyle name="Normal 5" xfId="7" xr:uid="{00000000-0005-0000-0000-000037000000}"/>
    <cellStyle name="常规" xfId="0" builtinId="0"/>
  </cellStyles>
  <dxfs count="0"/>
  <tableStyles count="0" defaultTableStyle="TableStyleMedium9" defaultPivotStyle="PivotStyleLight16"/>
  <colors>
    <mruColors>
      <color rgb="FF99FFCC"/>
      <color rgb="FF8F7CBF"/>
      <color rgb="FF7254C1"/>
      <color rgb="FFA22D9F"/>
      <color rgb="FFCCFFCC"/>
      <color rgb="FFFFFFCC"/>
      <color rgb="FF9999FF"/>
      <color rgb="FFFFFF99"/>
      <color rgb="FFFFCC99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5BF7-3CCF-4143-81C6-272BDF4CC0A1}">
  <dimension ref="A1:G41"/>
  <sheetViews>
    <sheetView showGridLines="0" tabSelected="1" workbookViewId="0"/>
  </sheetViews>
  <sheetFormatPr defaultRowHeight="12.5" outlineLevelRow="1"/>
  <cols>
    <col min="1" max="1" width="2.1796875" customWidth="1"/>
    <col min="2" max="2" width="6.7265625" bestFit="1" customWidth="1"/>
    <col min="3" max="3" width="29.453125" bestFit="1" customWidth="1"/>
    <col min="4" max="4" width="12.453125" bestFit="1" customWidth="1"/>
    <col min="5" max="5" width="13.81640625" bestFit="1" customWidth="1"/>
    <col min="6" max="6" width="10.36328125" bestFit="1" customWidth="1"/>
    <col min="7" max="7" width="12.453125" bestFit="1" customWidth="1"/>
  </cols>
  <sheetData>
    <row r="1" spans="1:5" ht="13">
      <c r="A1" s="12" t="s">
        <v>23</v>
      </c>
    </row>
    <row r="2" spans="1:5" ht="13">
      <c r="A2" s="12" t="s">
        <v>24</v>
      </c>
    </row>
    <row r="3" spans="1:5" ht="13">
      <c r="A3" s="12" t="s">
        <v>25</v>
      </c>
    </row>
    <row r="4" spans="1:5" ht="13">
      <c r="A4" s="12" t="s">
        <v>26</v>
      </c>
    </row>
    <row r="5" spans="1:5" ht="13">
      <c r="A5" s="12" t="s">
        <v>27</v>
      </c>
    </row>
    <row r="6" spans="1:5" ht="13" hidden="1" outlineLevel="1">
      <c r="A6" s="12"/>
      <c r="B6" t="s">
        <v>28</v>
      </c>
    </row>
    <row r="7" spans="1:5" ht="13" hidden="1" outlineLevel="1">
      <c r="A7" s="12"/>
      <c r="B7" t="s">
        <v>29</v>
      </c>
    </row>
    <row r="8" spans="1:5" ht="13" hidden="1" outlineLevel="1">
      <c r="A8" s="12"/>
      <c r="B8" t="s">
        <v>30</v>
      </c>
    </row>
    <row r="9" spans="1:5" ht="13" collapsed="1">
      <c r="A9" s="12" t="s">
        <v>31</v>
      </c>
    </row>
    <row r="10" spans="1:5" hidden="1" outlineLevel="1">
      <c r="B10" t="s">
        <v>32</v>
      </c>
    </row>
    <row r="11" spans="1:5" hidden="1" outlineLevel="1">
      <c r="B11" t="s">
        <v>33</v>
      </c>
    </row>
    <row r="12" spans="1:5" collapsed="1"/>
    <row r="14" spans="1:5" ht="13" thickBot="1">
      <c r="A14" t="s">
        <v>34</v>
      </c>
    </row>
    <row r="15" spans="1:5" ht="13.5" thickBot="1">
      <c r="B15" s="14" t="s">
        <v>35</v>
      </c>
      <c r="C15" s="14" t="s">
        <v>36</v>
      </c>
      <c r="D15" s="14" t="s">
        <v>37</v>
      </c>
      <c r="E15" s="14" t="s">
        <v>38</v>
      </c>
    </row>
    <row r="16" spans="1:5" ht="13" thickBot="1">
      <c r="B16" s="13" t="s">
        <v>46</v>
      </c>
      <c r="C16" s="13" t="s">
        <v>47</v>
      </c>
      <c r="D16" s="17">
        <v>20613.529411764706</v>
      </c>
      <c r="E16" s="17">
        <v>20613.529411764706</v>
      </c>
    </row>
    <row r="19" spans="1:6" ht="13" thickBot="1">
      <c r="A19" t="s">
        <v>39</v>
      </c>
    </row>
    <row r="20" spans="1:6" ht="13.5" thickBot="1">
      <c r="B20" s="14" t="s">
        <v>35</v>
      </c>
      <c r="C20" s="14" t="s">
        <v>36</v>
      </c>
      <c r="D20" s="14" t="s">
        <v>37</v>
      </c>
      <c r="E20" s="14" t="s">
        <v>38</v>
      </c>
      <c r="F20" s="14" t="s">
        <v>40</v>
      </c>
    </row>
    <row r="21" spans="1:6" ht="13">
      <c r="B21" s="23" t="s">
        <v>86</v>
      </c>
      <c r="C21" s="22"/>
      <c r="D21" s="22"/>
      <c r="E21" s="22"/>
      <c r="F21" s="22"/>
    </row>
    <row r="22" spans="1:6" hidden="1" outlineLevel="1">
      <c r="B22" s="16" t="s">
        <v>48</v>
      </c>
      <c r="C22" s="16" t="s">
        <v>49</v>
      </c>
      <c r="D22" s="18">
        <v>176.47058823529412</v>
      </c>
      <c r="E22" s="18">
        <v>176.47058823529412</v>
      </c>
      <c r="F22" s="16" t="s">
        <v>41</v>
      </c>
    </row>
    <row r="23" spans="1:6" hidden="1" outlineLevel="1">
      <c r="B23" s="16" t="s">
        <v>50</v>
      </c>
      <c r="C23" s="16" t="s">
        <v>51</v>
      </c>
      <c r="D23" s="18">
        <v>123.52941176470588</v>
      </c>
      <c r="E23" s="18">
        <v>123.52941176470588</v>
      </c>
      <c r="F23" s="16" t="s">
        <v>41</v>
      </c>
    </row>
    <row r="24" spans="1:6" hidden="1" outlineLevel="1">
      <c r="B24" s="16" t="s">
        <v>52</v>
      </c>
      <c r="C24" s="16" t="s">
        <v>53</v>
      </c>
      <c r="D24" s="18">
        <v>0</v>
      </c>
      <c r="E24" s="18">
        <v>0</v>
      </c>
      <c r="F24" s="16" t="s">
        <v>41</v>
      </c>
    </row>
    <row r="25" spans="1:6" hidden="1" outlineLevel="1">
      <c r="B25" s="16" t="s">
        <v>54</v>
      </c>
      <c r="C25" s="16" t="s">
        <v>55</v>
      </c>
      <c r="D25" s="18">
        <v>0</v>
      </c>
      <c r="E25" s="18">
        <v>0</v>
      </c>
      <c r="F25" s="16" t="s">
        <v>41</v>
      </c>
    </row>
    <row r="26" spans="1:6" hidden="1" outlineLevel="1">
      <c r="B26" s="16" t="s">
        <v>56</v>
      </c>
      <c r="C26" s="16" t="s">
        <v>57</v>
      </c>
      <c r="D26" s="18">
        <v>0</v>
      </c>
      <c r="E26" s="18">
        <v>0</v>
      </c>
      <c r="F26" s="16" t="s">
        <v>41</v>
      </c>
    </row>
    <row r="27" spans="1:6" hidden="1" outlineLevel="1">
      <c r="B27" s="16" t="s">
        <v>58</v>
      </c>
      <c r="C27" s="16" t="s">
        <v>59</v>
      </c>
      <c r="D27" s="18">
        <v>600</v>
      </c>
      <c r="E27" s="18">
        <v>600</v>
      </c>
      <c r="F27" s="16" t="s">
        <v>41</v>
      </c>
    </row>
    <row r="28" spans="1:6" hidden="1" outlineLevel="1">
      <c r="B28" s="16" t="s">
        <v>60</v>
      </c>
      <c r="C28" s="16" t="s">
        <v>61</v>
      </c>
      <c r="D28" s="18">
        <v>0</v>
      </c>
      <c r="E28" s="18">
        <v>0</v>
      </c>
      <c r="F28" s="16" t="s">
        <v>41</v>
      </c>
    </row>
    <row r="29" spans="1:6" hidden="1" outlineLevel="1">
      <c r="B29" s="16" t="s">
        <v>62</v>
      </c>
      <c r="C29" s="16" t="s">
        <v>63</v>
      </c>
      <c r="D29" s="18">
        <v>400</v>
      </c>
      <c r="E29" s="18">
        <v>400</v>
      </c>
      <c r="F29" s="16" t="s">
        <v>41</v>
      </c>
    </row>
    <row r="30" spans="1:6" ht="13" hidden="1" outlineLevel="1" thickBot="1">
      <c r="B30" s="13" t="s">
        <v>64</v>
      </c>
      <c r="C30" s="13" t="s">
        <v>65</v>
      </c>
      <c r="D30" s="17">
        <v>0</v>
      </c>
      <c r="E30" s="17">
        <v>0</v>
      </c>
      <c r="F30" s="13" t="s">
        <v>41</v>
      </c>
    </row>
    <row r="31" spans="1:6" collapsed="1">
      <c r="B31" s="15"/>
      <c r="C31" s="15"/>
      <c r="D31" s="19"/>
      <c r="E31" s="19"/>
      <c r="F31" s="15"/>
    </row>
    <row r="34" spans="1:7" ht="13" thickBot="1">
      <c r="A34" t="s">
        <v>41</v>
      </c>
    </row>
    <row r="35" spans="1:7" ht="13.5" thickBot="1">
      <c r="B35" s="14" t="s">
        <v>35</v>
      </c>
      <c r="C35" s="14" t="s">
        <v>36</v>
      </c>
      <c r="D35" s="14" t="s">
        <v>42</v>
      </c>
      <c r="E35" s="14" t="s">
        <v>43</v>
      </c>
      <c r="F35" s="14" t="s">
        <v>44</v>
      </c>
      <c r="G35" s="14" t="s">
        <v>45</v>
      </c>
    </row>
    <row r="36" spans="1:7">
      <c r="B36" s="16" t="s">
        <v>66</v>
      </c>
      <c r="C36" s="16" t="s">
        <v>67</v>
      </c>
      <c r="D36" s="18">
        <v>150</v>
      </c>
      <c r="E36" s="16" t="s">
        <v>68</v>
      </c>
      <c r="F36" s="20" t="s">
        <v>69</v>
      </c>
      <c r="G36" s="16">
        <v>0</v>
      </c>
    </row>
    <row r="37" spans="1:7">
      <c r="B37" s="16" t="s">
        <v>70</v>
      </c>
      <c r="C37" s="16" t="s">
        <v>71</v>
      </c>
      <c r="D37" s="18">
        <v>411.1764705882353</v>
      </c>
      <c r="E37" s="16" t="s">
        <v>72</v>
      </c>
      <c r="F37" s="20" t="s">
        <v>73</v>
      </c>
      <c r="G37" s="16">
        <v>338.8235294117647</v>
      </c>
    </row>
    <row r="38" spans="1:7">
      <c r="B38" s="16" t="s">
        <v>74</v>
      </c>
      <c r="C38" s="16" t="s">
        <v>75</v>
      </c>
      <c r="D38" s="18">
        <v>480</v>
      </c>
      <c r="E38" s="16" t="s">
        <v>76</v>
      </c>
      <c r="F38" s="20" t="s">
        <v>73</v>
      </c>
      <c r="G38" s="16">
        <v>70</v>
      </c>
    </row>
    <row r="39" spans="1:7">
      <c r="B39" s="16" t="s">
        <v>77</v>
      </c>
      <c r="C39" s="16" t="s">
        <v>78</v>
      </c>
      <c r="D39" s="18">
        <v>300</v>
      </c>
      <c r="E39" s="16" t="s">
        <v>79</v>
      </c>
      <c r="F39" s="20" t="s">
        <v>69</v>
      </c>
      <c r="G39" s="16">
        <v>0</v>
      </c>
    </row>
    <row r="40" spans="1:7">
      <c r="B40" s="16" t="s">
        <v>80</v>
      </c>
      <c r="C40" s="16" t="s">
        <v>81</v>
      </c>
      <c r="D40" s="18">
        <v>600</v>
      </c>
      <c r="E40" s="16" t="s">
        <v>82</v>
      </c>
      <c r="F40" s="20" t="s">
        <v>69</v>
      </c>
      <c r="G40" s="16">
        <v>0</v>
      </c>
    </row>
    <row r="41" spans="1:7" ht="13" thickBot="1">
      <c r="B41" s="13" t="s">
        <v>83</v>
      </c>
      <c r="C41" s="13" t="s">
        <v>84</v>
      </c>
      <c r="D41" s="17">
        <v>400</v>
      </c>
      <c r="E41" s="13" t="s">
        <v>85</v>
      </c>
      <c r="F41" s="21" t="s">
        <v>69</v>
      </c>
      <c r="G41" s="13">
        <v>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BFAE-2610-4EE5-B286-5BC38F410D7C}">
  <dimension ref="A1:H29"/>
  <sheetViews>
    <sheetView showGridLines="0" workbookViewId="0"/>
  </sheetViews>
  <sheetFormatPr defaultRowHeight="12.5" outlineLevelRow="1"/>
  <cols>
    <col min="1" max="1" width="2.1796875" customWidth="1"/>
    <col min="2" max="2" width="6.7265625" bestFit="1" customWidth="1"/>
    <col min="3" max="3" width="29.453125" bestFit="1" customWidth="1"/>
    <col min="4" max="4" width="12.453125" bestFit="1" customWidth="1"/>
    <col min="5" max="5" width="13.1796875" bestFit="1" customWidth="1"/>
    <col min="6" max="6" width="6.7265625" bestFit="1" customWidth="1"/>
    <col min="7" max="8" width="12.453125" bestFit="1" customWidth="1"/>
  </cols>
  <sheetData>
    <row r="1" spans="1:8" ht="13">
      <c r="A1" s="12" t="s">
        <v>87</v>
      </c>
    </row>
    <row r="2" spans="1:8" ht="13">
      <c r="A2" s="12" t="s">
        <v>24</v>
      </c>
    </row>
    <row r="3" spans="1:8" ht="13">
      <c r="A3" s="12" t="s">
        <v>25</v>
      </c>
    </row>
    <row r="6" spans="1:8" ht="13" thickBot="1">
      <c r="A6" t="s">
        <v>39</v>
      </c>
    </row>
    <row r="7" spans="1:8" ht="13">
      <c r="B7" s="24"/>
      <c r="C7" s="24"/>
      <c r="D7" s="24" t="s">
        <v>88</v>
      </c>
      <c r="E7" s="24" t="s">
        <v>90</v>
      </c>
      <c r="F7" s="24" t="s">
        <v>92</v>
      </c>
      <c r="G7" s="24" t="s">
        <v>94</v>
      </c>
      <c r="H7" s="24" t="s">
        <v>94</v>
      </c>
    </row>
    <row r="8" spans="1:8" ht="13.5" thickBot="1">
      <c r="B8" s="25" t="s">
        <v>35</v>
      </c>
      <c r="C8" s="25" t="s">
        <v>36</v>
      </c>
      <c r="D8" s="25" t="s">
        <v>89</v>
      </c>
      <c r="E8" s="25" t="s">
        <v>91</v>
      </c>
      <c r="F8" s="25" t="s">
        <v>93</v>
      </c>
      <c r="G8" s="25" t="s">
        <v>95</v>
      </c>
      <c r="H8" s="25" t="s">
        <v>96</v>
      </c>
    </row>
    <row r="9" spans="1:8" ht="13">
      <c r="B9" s="23" t="s">
        <v>86</v>
      </c>
      <c r="C9" s="22"/>
      <c r="D9" s="22"/>
      <c r="E9" s="22"/>
      <c r="F9" s="22"/>
      <c r="G9" s="22"/>
      <c r="H9" s="22"/>
    </row>
    <row r="10" spans="1:8" hidden="1" outlineLevel="1">
      <c r="B10" s="16" t="s">
        <v>48</v>
      </c>
      <c r="C10" s="16" t="s">
        <v>49</v>
      </c>
      <c r="D10" s="16">
        <v>176.47058823529412</v>
      </c>
      <c r="E10" s="16">
        <v>0</v>
      </c>
      <c r="F10" s="16">
        <v>21.25</v>
      </c>
      <c r="G10" s="16">
        <v>1E+30</v>
      </c>
      <c r="H10" s="16">
        <v>2.4000000000000088</v>
      </c>
    </row>
    <row r="11" spans="1:8" hidden="1" outlineLevel="1">
      <c r="B11" s="16" t="s">
        <v>50</v>
      </c>
      <c r="C11" s="16" t="s">
        <v>51</v>
      </c>
      <c r="D11" s="16">
        <v>123.52941176470588</v>
      </c>
      <c r="E11" s="16">
        <v>0</v>
      </c>
      <c r="F11" s="16">
        <v>18</v>
      </c>
      <c r="G11" s="16">
        <v>2.4000000000000088</v>
      </c>
      <c r="H11" s="16">
        <v>0.90000000000000568</v>
      </c>
    </row>
    <row r="12" spans="1:8" hidden="1" outlineLevel="1">
      <c r="B12" s="16" t="s">
        <v>52</v>
      </c>
      <c r="C12" s="16" t="s">
        <v>53</v>
      </c>
      <c r="D12" s="16">
        <v>0</v>
      </c>
      <c r="E12" s="16">
        <v>-0.90000000000000568</v>
      </c>
      <c r="F12" s="16">
        <v>17.099999999999994</v>
      </c>
      <c r="G12" s="16">
        <v>0.90000000000000568</v>
      </c>
      <c r="H12" s="16">
        <v>1E+30</v>
      </c>
    </row>
    <row r="13" spans="1:8" hidden="1" outlineLevel="1">
      <c r="B13" s="16" t="s">
        <v>54</v>
      </c>
      <c r="C13" s="16" t="s">
        <v>55</v>
      </c>
      <c r="D13" s="16">
        <v>0</v>
      </c>
      <c r="E13" s="16">
        <v>-1.6941176470588299</v>
      </c>
      <c r="F13" s="16">
        <v>15</v>
      </c>
      <c r="G13" s="16">
        <v>1.6941176470588299</v>
      </c>
      <c r="H13" s="16">
        <v>1E+30</v>
      </c>
    </row>
    <row r="14" spans="1:8" hidden="1" outlineLevel="1">
      <c r="B14" s="16" t="s">
        <v>56</v>
      </c>
      <c r="C14" s="16" t="s">
        <v>57</v>
      </c>
      <c r="D14" s="16">
        <v>0</v>
      </c>
      <c r="E14" s="16">
        <v>-2.4000000000000057</v>
      </c>
      <c r="F14" s="16">
        <v>12</v>
      </c>
      <c r="G14" s="16">
        <v>2.4000000000000057</v>
      </c>
      <c r="H14" s="16">
        <v>1E+30</v>
      </c>
    </row>
    <row r="15" spans="1:8" hidden="1" outlineLevel="1">
      <c r="B15" s="16" t="s">
        <v>58</v>
      </c>
      <c r="C15" s="16" t="s">
        <v>59</v>
      </c>
      <c r="D15" s="16">
        <v>600</v>
      </c>
      <c r="E15" s="16">
        <v>0</v>
      </c>
      <c r="F15" s="16">
        <v>14.400000000000006</v>
      </c>
      <c r="G15" s="16">
        <v>1E+30</v>
      </c>
      <c r="H15" s="16">
        <v>1.6941176470588299</v>
      </c>
    </row>
    <row r="16" spans="1:8" hidden="1" outlineLevel="1">
      <c r="B16" s="16" t="s">
        <v>60</v>
      </c>
      <c r="C16" s="16" t="s">
        <v>61</v>
      </c>
      <c r="D16" s="16">
        <v>0</v>
      </c>
      <c r="E16" s="16">
        <v>-15</v>
      </c>
      <c r="F16" s="16">
        <v>0</v>
      </c>
      <c r="G16" s="16">
        <v>15</v>
      </c>
      <c r="H16" s="16">
        <v>1E+30</v>
      </c>
    </row>
    <row r="17" spans="1:8" hidden="1" outlineLevel="1">
      <c r="B17" s="16" t="s">
        <v>62</v>
      </c>
      <c r="C17" s="16" t="s">
        <v>63</v>
      </c>
      <c r="D17" s="16">
        <v>400</v>
      </c>
      <c r="E17" s="16">
        <v>0</v>
      </c>
      <c r="F17" s="16">
        <v>15</v>
      </c>
      <c r="G17" s="16">
        <v>1E+30</v>
      </c>
      <c r="H17" s="16">
        <v>4.1999999999999886</v>
      </c>
    </row>
    <row r="18" spans="1:8" ht="13" hidden="1" outlineLevel="1" thickBot="1">
      <c r="B18" s="13" t="s">
        <v>64</v>
      </c>
      <c r="C18" s="13" t="s">
        <v>65</v>
      </c>
      <c r="D18" s="13">
        <v>0</v>
      </c>
      <c r="E18" s="13">
        <v>-4.1999999999999886</v>
      </c>
      <c r="F18" s="13">
        <v>10.800000000000011</v>
      </c>
      <c r="G18" s="13">
        <v>4.1999999999999886</v>
      </c>
      <c r="H18" s="13">
        <v>1E+30</v>
      </c>
    </row>
    <row r="19" spans="1:8" collapsed="1">
      <c r="B19" s="15"/>
      <c r="C19" s="15"/>
      <c r="D19" s="15"/>
      <c r="E19" s="15"/>
      <c r="F19" s="15"/>
      <c r="G19" s="15"/>
      <c r="H19" s="15"/>
    </row>
    <row r="21" spans="1:8" ht="13" thickBot="1">
      <c r="A21" t="s">
        <v>41</v>
      </c>
    </row>
    <row r="22" spans="1:8" ht="13">
      <c r="B22" s="24"/>
      <c r="C22" s="24"/>
      <c r="D22" s="24" t="s">
        <v>88</v>
      </c>
      <c r="E22" s="24" t="s">
        <v>97</v>
      </c>
      <c r="F22" s="24" t="s">
        <v>41</v>
      </c>
      <c r="G22" s="24" t="s">
        <v>94</v>
      </c>
      <c r="H22" s="24" t="s">
        <v>94</v>
      </c>
    </row>
    <row r="23" spans="1:8" ht="13.5" thickBot="1">
      <c r="B23" s="25" t="s">
        <v>35</v>
      </c>
      <c r="C23" s="25" t="s">
        <v>36</v>
      </c>
      <c r="D23" s="25" t="s">
        <v>89</v>
      </c>
      <c r="E23" s="25" t="s">
        <v>98</v>
      </c>
      <c r="F23" s="25" t="s">
        <v>99</v>
      </c>
      <c r="G23" s="25" t="s">
        <v>95</v>
      </c>
      <c r="H23" s="25" t="s">
        <v>96</v>
      </c>
    </row>
    <row r="24" spans="1:8">
      <c r="B24" s="16" t="s">
        <v>66</v>
      </c>
      <c r="C24" s="16" t="s">
        <v>67</v>
      </c>
      <c r="D24" s="16">
        <v>150</v>
      </c>
      <c r="E24" s="16">
        <v>3.8235294117647065</v>
      </c>
      <c r="F24" s="16">
        <v>150</v>
      </c>
      <c r="G24" s="16">
        <v>105</v>
      </c>
      <c r="H24" s="16">
        <v>150</v>
      </c>
    </row>
    <row r="25" spans="1:8">
      <c r="B25" s="16" t="s">
        <v>70</v>
      </c>
      <c r="C25" s="16" t="s">
        <v>71</v>
      </c>
      <c r="D25" s="16">
        <v>411.1764705882353</v>
      </c>
      <c r="E25" s="16">
        <v>0</v>
      </c>
      <c r="F25" s="16">
        <v>750</v>
      </c>
      <c r="G25" s="16">
        <v>1E+30</v>
      </c>
      <c r="H25" s="16">
        <v>338.82352941176464</v>
      </c>
    </row>
    <row r="26" spans="1:8">
      <c r="B26" s="16" t="s">
        <v>74</v>
      </c>
      <c r="C26" s="16" t="s">
        <v>75</v>
      </c>
      <c r="D26" s="16">
        <v>480</v>
      </c>
      <c r="E26" s="16">
        <v>0</v>
      </c>
      <c r="F26" s="16">
        <v>550</v>
      </c>
      <c r="G26" s="16">
        <v>1E+30</v>
      </c>
      <c r="H26" s="16">
        <v>70</v>
      </c>
    </row>
    <row r="27" spans="1:8">
      <c r="B27" s="16" t="s">
        <v>77</v>
      </c>
      <c r="C27" s="16" t="s">
        <v>78</v>
      </c>
      <c r="D27" s="16">
        <v>300</v>
      </c>
      <c r="E27" s="16">
        <v>18</v>
      </c>
      <c r="F27" s="16">
        <v>300</v>
      </c>
      <c r="G27" s="16">
        <v>376.47058823529403</v>
      </c>
      <c r="H27" s="16">
        <v>123.52941176470588</v>
      </c>
    </row>
    <row r="28" spans="1:8">
      <c r="B28" s="16" t="s">
        <v>80</v>
      </c>
      <c r="C28" s="16" t="s">
        <v>81</v>
      </c>
      <c r="D28" s="16">
        <v>600</v>
      </c>
      <c r="E28" s="16">
        <v>14.400000000000006</v>
      </c>
      <c r="F28" s="16">
        <v>600</v>
      </c>
      <c r="G28" s="16">
        <v>87.5</v>
      </c>
      <c r="H28" s="16">
        <v>600</v>
      </c>
    </row>
    <row r="29" spans="1:8" ht="13" thickBot="1">
      <c r="B29" s="13" t="s">
        <v>83</v>
      </c>
      <c r="C29" s="13" t="s">
        <v>84</v>
      </c>
      <c r="D29" s="13">
        <v>400</v>
      </c>
      <c r="E29" s="13">
        <v>15</v>
      </c>
      <c r="F29" s="13">
        <v>400</v>
      </c>
      <c r="G29" s="13">
        <v>451.76470588235287</v>
      </c>
      <c r="H29" s="13">
        <v>400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887E-22AC-402D-80EC-7252599F5D0C}">
  <dimension ref="A1:J21"/>
  <sheetViews>
    <sheetView showGridLines="0" workbookViewId="0">
      <selection activeCell="J25" sqref="J25"/>
    </sheetView>
  </sheetViews>
  <sheetFormatPr defaultRowHeight="12.5"/>
  <cols>
    <col min="1" max="1" width="2.1796875" customWidth="1"/>
    <col min="2" max="2" width="6.7265625" bestFit="1" customWidth="1"/>
    <col min="3" max="3" width="4.90625" bestFit="1" customWidth="1"/>
    <col min="4" max="4" width="8.26953125" bestFit="1" customWidth="1"/>
    <col min="5" max="5" width="2.1796875" customWidth="1"/>
    <col min="6" max="6" width="4.90625" bestFit="1" customWidth="1"/>
    <col min="7" max="7" width="6.7265625" bestFit="1" customWidth="1"/>
    <col min="8" max="8" width="2.1796875" customWidth="1"/>
    <col min="9" max="9" width="4.90625" bestFit="1" customWidth="1"/>
    <col min="10" max="10" width="6.7265625" bestFit="1" customWidth="1"/>
  </cols>
  <sheetData>
    <row r="1" spans="1:10" ht="13">
      <c r="A1" s="12" t="s">
        <v>100</v>
      </c>
    </row>
    <row r="2" spans="1:10" ht="13">
      <c r="A2" s="12" t="s">
        <v>24</v>
      </c>
    </row>
    <row r="3" spans="1:10" ht="13">
      <c r="A3" s="12" t="s">
        <v>101</v>
      </c>
    </row>
    <row r="5" spans="1:10" ht="13" thickBot="1"/>
    <row r="6" spans="1:10" ht="13">
      <c r="B6" s="24"/>
      <c r="C6" s="24" t="s">
        <v>92</v>
      </c>
      <c r="D6" s="24"/>
    </row>
    <row r="7" spans="1:10" ht="13.5" thickBot="1">
      <c r="B7" s="25" t="s">
        <v>35</v>
      </c>
      <c r="C7" s="25" t="s">
        <v>36</v>
      </c>
      <c r="D7" s="25" t="s">
        <v>89</v>
      </c>
    </row>
    <row r="8" spans="1:10" ht="13" thickBot="1">
      <c r="B8" s="13" t="s">
        <v>46</v>
      </c>
      <c r="C8" s="13" t="s">
        <v>47</v>
      </c>
      <c r="D8" s="17">
        <v>20613.529411764706</v>
      </c>
    </row>
    <row r="10" spans="1:10" ht="13" thickBot="1"/>
    <row r="11" spans="1:10" ht="13">
      <c r="B11" s="24"/>
      <c r="C11" s="24" t="s">
        <v>102</v>
      </c>
      <c r="D11" s="24"/>
      <c r="F11" s="24" t="s">
        <v>103</v>
      </c>
      <c r="G11" s="24" t="s">
        <v>92</v>
      </c>
      <c r="I11" s="24" t="s">
        <v>106</v>
      </c>
      <c r="J11" s="24" t="s">
        <v>92</v>
      </c>
    </row>
    <row r="12" spans="1:10" ht="13.5" thickBot="1">
      <c r="B12" s="25" t="s">
        <v>35</v>
      </c>
      <c r="C12" s="25" t="s">
        <v>36</v>
      </c>
      <c r="D12" s="25" t="s">
        <v>89</v>
      </c>
      <c r="F12" s="25" t="s">
        <v>104</v>
      </c>
      <c r="G12" s="25" t="s">
        <v>105</v>
      </c>
      <c r="I12" s="25" t="s">
        <v>104</v>
      </c>
      <c r="J12" s="25" t="s">
        <v>105</v>
      </c>
    </row>
    <row r="13" spans="1:10">
      <c r="B13" s="16" t="s">
        <v>48</v>
      </c>
      <c r="C13" s="16" t="s">
        <v>49</v>
      </c>
      <c r="D13" s="18">
        <v>176.47058823529412</v>
      </c>
      <c r="F13" s="18">
        <v>0</v>
      </c>
      <c r="G13" s="18">
        <v>16863.529411764706</v>
      </c>
      <c r="I13" s="18">
        <v>176.47058823529412</v>
      </c>
      <c r="J13" s="18">
        <v>20613.529411764706</v>
      </c>
    </row>
    <row r="14" spans="1:10">
      <c r="B14" s="16" t="s">
        <v>50</v>
      </c>
      <c r="C14" s="16" t="s">
        <v>51</v>
      </c>
      <c r="D14" s="18">
        <v>123.52941176470588</v>
      </c>
      <c r="F14" s="18">
        <v>0</v>
      </c>
      <c r="G14" s="18">
        <v>18390</v>
      </c>
      <c r="I14" s="18">
        <v>123.52941176470588</v>
      </c>
      <c r="J14" s="18">
        <v>20613.529411764706</v>
      </c>
    </row>
    <row r="15" spans="1:10">
      <c r="B15" s="16" t="s">
        <v>52</v>
      </c>
      <c r="C15" s="16" t="s">
        <v>53</v>
      </c>
      <c r="D15" s="18">
        <v>0</v>
      </c>
      <c r="F15" s="18">
        <v>0</v>
      </c>
      <c r="G15" s="18">
        <v>20613.529411764706</v>
      </c>
      <c r="I15" s="18">
        <v>0</v>
      </c>
      <c r="J15" s="18">
        <v>20613.529411764706</v>
      </c>
    </row>
    <row r="16" spans="1:10">
      <c r="B16" s="16" t="s">
        <v>54</v>
      </c>
      <c r="C16" s="16" t="s">
        <v>55</v>
      </c>
      <c r="D16" s="18">
        <v>0</v>
      </c>
      <c r="F16" s="18">
        <v>0</v>
      </c>
      <c r="G16" s="18">
        <v>20613.529411764706</v>
      </c>
      <c r="I16" s="18">
        <v>0</v>
      </c>
      <c r="J16" s="18">
        <v>20613.529411764706</v>
      </c>
    </row>
    <row r="17" spans="2:10">
      <c r="B17" s="16" t="s">
        <v>56</v>
      </c>
      <c r="C17" s="16" t="s">
        <v>57</v>
      </c>
      <c r="D17" s="18">
        <v>0</v>
      </c>
      <c r="F17" s="18">
        <v>0</v>
      </c>
      <c r="G17" s="18">
        <v>20613.529411764706</v>
      </c>
      <c r="I17" s="18">
        <v>0</v>
      </c>
      <c r="J17" s="18">
        <v>20613.529411764706</v>
      </c>
    </row>
    <row r="18" spans="2:10">
      <c r="B18" s="16" t="s">
        <v>58</v>
      </c>
      <c r="C18" s="16" t="s">
        <v>59</v>
      </c>
      <c r="D18" s="18">
        <v>600</v>
      </c>
      <c r="F18" s="18">
        <v>0</v>
      </c>
      <c r="G18" s="18">
        <v>11973.529411764706</v>
      </c>
      <c r="I18" s="18">
        <v>600</v>
      </c>
      <c r="J18" s="18">
        <v>20613.529411764706</v>
      </c>
    </row>
    <row r="19" spans="2:10">
      <c r="B19" s="16" t="s">
        <v>60</v>
      </c>
      <c r="C19" s="16" t="s">
        <v>61</v>
      </c>
      <c r="D19" s="18">
        <v>0</v>
      </c>
      <c r="F19" s="18">
        <v>0</v>
      </c>
      <c r="G19" s="18">
        <v>20613.529411764706</v>
      </c>
      <c r="I19" s="18">
        <v>0</v>
      </c>
      <c r="J19" s="18">
        <v>20613.529411764706</v>
      </c>
    </row>
    <row r="20" spans="2:10">
      <c r="B20" s="16" t="s">
        <v>62</v>
      </c>
      <c r="C20" s="16" t="s">
        <v>63</v>
      </c>
      <c r="D20" s="18">
        <v>400</v>
      </c>
      <c r="F20" s="18">
        <v>0</v>
      </c>
      <c r="G20" s="18">
        <v>14613.529411764706</v>
      </c>
      <c r="I20" s="18">
        <v>400</v>
      </c>
      <c r="J20" s="18">
        <v>20613.529411764706</v>
      </c>
    </row>
    <row r="21" spans="2:10" ht="13" thickBot="1">
      <c r="B21" s="13" t="s">
        <v>64</v>
      </c>
      <c r="C21" s="13" t="s">
        <v>65</v>
      </c>
      <c r="D21" s="17">
        <v>0</v>
      </c>
      <c r="F21" s="17">
        <v>0</v>
      </c>
      <c r="G21" s="17">
        <v>20613.529411764706</v>
      </c>
      <c r="I21" s="17">
        <v>0</v>
      </c>
      <c r="J21" s="17">
        <v>20613.529411764706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C11" sqref="C11"/>
    </sheetView>
  </sheetViews>
  <sheetFormatPr defaultColWidth="9.1796875" defaultRowHeight="12.5" outlineLevelRow="1"/>
  <cols>
    <col min="1" max="1" width="9.1796875" style="1"/>
    <col min="2" max="2" width="15.08984375" style="1" bestFit="1" customWidth="1"/>
    <col min="3" max="3" width="12.453125" style="1" bestFit="1" customWidth="1"/>
    <col min="4" max="4" width="15.90625" style="1" bestFit="1" customWidth="1"/>
    <col min="5" max="5" width="23" style="1" customWidth="1"/>
    <col min="6" max="6" width="12.81640625" style="1" customWidth="1"/>
    <col min="7" max="7" width="13" style="1" bestFit="1" customWidth="1"/>
    <col min="8" max="8" width="26.81640625" style="1" customWidth="1"/>
    <col min="9" max="9" width="3.453125" style="1" bestFit="1" customWidth="1"/>
    <col min="10" max="10" width="8.90625" style="1" bestFit="1" customWidth="1"/>
    <col min="11" max="16384" width="9.1796875" style="1"/>
  </cols>
  <sheetData>
    <row r="1" spans="1:8" ht="18">
      <c r="A1" s="2" t="s">
        <v>0</v>
      </c>
    </row>
    <row r="2" spans="1:8" ht="13">
      <c r="C2" s="10" t="s">
        <v>1</v>
      </c>
      <c r="D2" s="11"/>
      <c r="E2" s="11"/>
    </row>
    <row r="3" spans="1:8" ht="13">
      <c r="C3" s="3" t="s">
        <v>2</v>
      </c>
      <c r="D3" s="3" t="s">
        <v>3</v>
      </c>
      <c r="E3" s="3" t="s">
        <v>4</v>
      </c>
    </row>
    <row r="4" spans="1:8" ht="13">
      <c r="B4" s="5" t="s">
        <v>5</v>
      </c>
      <c r="C4" s="6">
        <v>0.85</v>
      </c>
      <c r="D4" s="6">
        <v>0.9</v>
      </c>
      <c r="E4" s="6">
        <v>0.95</v>
      </c>
    </row>
    <row r="5" spans="1:8" ht="13">
      <c r="B5" s="5" t="s">
        <v>6</v>
      </c>
      <c r="C5" s="6">
        <v>0.6</v>
      </c>
      <c r="D5" s="6">
        <v>0.6</v>
      </c>
      <c r="E5" s="6">
        <v>0.8</v>
      </c>
    </row>
    <row r="6" spans="1:8" ht="13">
      <c r="B6" s="5" t="s">
        <v>7</v>
      </c>
      <c r="C6" s="6">
        <v>0</v>
      </c>
      <c r="D6" s="6">
        <v>0.75</v>
      </c>
      <c r="E6" s="6">
        <v>0.6</v>
      </c>
    </row>
    <row r="7" spans="1:8" ht="13">
      <c r="H7" s="3" t="s">
        <v>8</v>
      </c>
    </row>
    <row r="8" spans="1:8">
      <c r="B8" s="1" t="s">
        <v>9</v>
      </c>
      <c r="C8" s="6">
        <v>150</v>
      </c>
      <c r="D8" s="6">
        <v>750</v>
      </c>
      <c r="E8" s="6">
        <v>550</v>
      </c>
      <c r="H8" s="7">
        <f>SUM(C8:E8)</f>
        <v>1450</v>
      </c>
    </row>
    <row r="9" spans="1:8">
      <c r="C9" s="6" t="s">
        <v>10</v>
      </c>
      <c r="D9" s="6" t="s">
        <v>10</v>
      </c>
      <c r="E9" s="6" t="s">
        <v>10</v>
      </c>
    </row>
    <row r="10" spans="1:8" ht="13">
      <c r="C10" s="3" t="s">
        <v>2</v>
      </c>
      <c r="D10" s="3" t="s">
        <v>3</v>
      </c>
      <c r="E10" s="3" t="s">
        <v>4</v>
      </c>
      <c r="H10" s="3" t="s">
        <v>11</v>
      </c>
    </row>
    <row r="11" spans="1:8" ht="13">
      <c r="B11" s="5" t="s">
        <v>12</v>
      </c>
      <c r="C11" s="7">
        <f>0.85*C19+0.6*C20</f>
        <v>150</v>
      </c>
      <c r="D11" s="7">
        <f>0.9*D19+0.6*D20+0.75*D21</f>
        <v>411.1764705882353</v>
      </c>
      <c r="E11" s="7">
        <f>0.95*E19+0.8*E20+0.6*E21</f>
        <v>480</v>
      </c>
      <c r="H11" s="7">
        <f>SUM(C11:E11)</f>
        <v>1041.1764705882354</v>
      </c>
    </row>
    <row r="13" spans="1:8" ht="13">
      <c r="B13" s="26" t="s">
        <v>86</v>
      </c>
    </row>
    <row r="14" spans="1:8" ht="13" hidden="1" outlineLevel="1">
      <c r="B14" s="5" t="s">
        <v>13</v>
      </c>
      <c r="C14" s="6">
        <v>25</v>
      </c>
      <c r="D14" s="6">
        <v>20</v>
      </c>
      <c r="E14" s="6">
        <v>18</v>
      </c>
      <c r="H14" s="3" t="s">
        <v>14</v>
      </c>
    </row>
    <row r="15" spans="1:8" ht="13" hidden="1" outlineLevel="1">
      <c r="B15" s="5" t="s">
        <v>15</v>
      </c>
      <c r="C15" s="7">
        <f>25*C11</f>
        <v>3750</v>
      </c>
      <c r="D15" s="7">
        <f>20*D11</f>
        <v>8223.5294117647063</v>
      </c>
      <c r="E15" s="7">
        <f>18*E11</f>
        <v>8640</v>
      </c>
      <c r="H15" s="8">
        <f>SUM(C15:E15)</f>
        <v>20613.529411764706</v>
      </c>
    </row>
    <row r="16" spans="1:8" ht="13" hidden="1" outlineLevel="1">
      <c r="C16" s="3"/>
      <c r="D16" s="4"/>
      <c r="E16" s="4"/>
    </row>
    <row r="17" spans="2:10" ht="13" hidden="1" outlineLevel="1">
      <c r="C17" s="10" t="s">
        <v>16</v>
      </c>
      <c r="D17" s="11"/>
      <c r="E17" s="11"/>
    </row>
    <row r="18" spans="2:10" ht="13" hidden="1" outlineLevel="1">
      <c r="C18" s="3" t="s">
        <v>2</v>
      </c>
      <c r="D18" s="3" t="s">
        <v>3</v>
      </c>
      <c r="E18" s="3" t="s">
        <v>4</v>
      </c>
      <c r="H18" s="3" t="s">
        <v>17</v>
      </c>
      <c r="J18" s="3" t="s">
        <v>18</v>
      </c>
    </row>
    <row r="19" spans="2:10" ht="13" hidden="1" outlineLevel="1">
      <c r="B19" s="5" t="s">
        <v>19</v>
      </c>
      <c r="C19" s="9">
        <v>176.47058823529412</v>
      </c>
      <c r="D19" s="9">
        <v>123.52941176470588</v>
      </c>
      <c r="E19" s="9">
        <v>0</v>
      </c>
      <c r="G19" s="5" t="s">
        <v>5</v>
      </c>
      <c r="H19" s="7">
        <f>SUM(C19:E19)</f>
        <v>300</v>
      </c>
      <c r="I19" s="6" t="s">
        <v>20</v>
      </c>
      <c r="J19" s="6">
        <v>300</v>
      </c>
    </row>
    <row r="20" spans="2:10" ht="13" hidden="1" outlineLevel="1">
      <c r="B20" s="5" t="s">
        <v>21</v>
      </c>
      <c r="C20" s="9">
        <v>0</v>
      </c>
      <c r="D20" s="9">
        <v>0</v>
      </c>
      <c r="E20" s="9">
        <v>600</v>
      </c>
      <c r="G20" s="5" t="s">
        <v>6</v>
      </c>
      <c r="H20" s="7">
        <f>SUM(C20:E20)</f>
        <v>600</v>
      </c>
      <c r="I20" s="6" t="s">
        <v>20</v>
      </c>
      <c r="J20" s="6">
        <v>600</v>
      </c>
    </row>
    <row r="21" spans="2:10" ht="13" hidden="1" outlineLevel="1">
      <c r="B21" s="5" t="s">
        <v>22</v>
      </c>
      <c r="C21" s="9">
        <v>0</v>
      </c>
      <c r="D21" s="9">
        <v>400</v>
      </c>
      <c r="E21" s="9">
        <v>0</v>
      </c>
      <c r="G21" s="5" t="s">
        <v>22</v>
      </c>
      <c r="H21" s="7">
        <f>SUM(C21:E21)</f>
        <v>400</v>
      </c>
      <c r="I21" s="6" t="s">
        <v>20</v>
      </c>
      <c r="J21" s="6">
        <v>400</v>
      </c>
    </row>
    <row r="22" spans="2:10" hidden="1" outlineLevel="1"/>
    <row r="23" spans="2:10" collapsed="1"/>
  </sheetData>
  <mergeCells count="2">
    <mergeCell ref="C2:E2"/>
    <mergeCell ref="C17:E17"/>
  </mergeCells>
  <phoneticPr fontId="7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运算结果报告 1</vt:lpstr>
      <vt:lpstr>敏感性报告 1</vt:lpstr>
      <vt:lpstr>极限值报告 1</vt:lpstr>
      <vt:lpstr>PaperRecycling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Landa-Silva</dc:creator>
  <cp:lastModifiedBy>Mingyuan LIU (20808220)</cp:lastModifiedBy>
  <dcterms:created xsi:type="dcterms:W3CDTF">2007-10-21T20:35:00Z</dcterms:created>
  <dcterms:modified xsi:type="dcterms:W3CDTF">2025-09-30T08:46:43Z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AD6C65D698324FAA9D38008A41C69072_12</vt:lpwstr>
  </property>
  <property fmtid="{D5CDD505-2E9C-101B-9397-08002B2CF9AE}" pid="3" name="KSOProductBuildVer">
    <vt:lpwstr>2052-12.1.0.22529</vt:lpwstr>
  </property>
</Properties>
</file>