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11206\Desktop\"/>
    </mc:Choice>
  </mc:AlternateContent>
  <xr:revisionPtr revIDLastSave="0" documentId="13_ncr:1_{CFC1B93C-CF0E-4269-B590-713D58A909A3}" xr6:coauthVersionLast="47" xr6:coauthVersionMax="47" xr10:uidLastSave="{00000000-0000-0000-0000-000000000000}"/>
  <bookViews>
    <workbookView xWindow="-110" yWindow="-110" windowWidth="25820" windowHeight="13900" tabRatio="790" activeTab="1" xr2:uid="{00000000-000D-0000-FFFF-FFFF00000000}"/>
  </bookViews>
  <sheets>
    <sheet name="Sheet1" sheetId="55" r:id="rId1"/>
    <sheet name="Sheet2" sheetId="56" r:id="rId2"/>
  </sheets>
  <definedNames>
    <definedName name="sencount" hidden="1">2</definedName>
    <definedName name="solver_adj" localSheetId="0" hidden="1">Sheet1!$B$13:$E$15</definedName>
    <definedName name="solver_adj" localSheetId="1" hidden="1">Sheet2!$J$3:$M$4,Sheet2!$J$8:$N$9,Sheet2!$J$13:$N$16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Sheet1!$B$13:$E$15</definedName>
    <definedName name="solver_lhs1" localSheetId="1" hidden="1">Sheet2!$D$19:$D$22</definedName>
    <definedName name="solver_lhs10" localSheetId="0" hidden="1">Sheet1!$G$16</definedName>
    <definedName name="solver_lhs2" localSheetId="0" hidden="1">Sheet1!$B$16</definedName>
    <definedName name="solver_lhs2" localSheetId="1" hidden="1">Sheet2!$D$24:$D$25</definedName>
    <definedName name="solver_lhs3" localSheetId="0" hidden="1">Sheet1!$B$19</definedName>
    <definedName name="solver_lhs3" localSheetId="1" hidden="1">Sheet2!$D$29:$D$33</definedName>
    <definedName name="solver_lhs4" localSheetId="0" hidden="1">Sheet1!$C$16</definedName>
    <definedName name="solver_lhs4" localSheetId="1" hidden="1">Sheet2!$E$19:$E$22</definedName>
    <definedName name="solver_lhs5" localSheetId="0" hidden="1">Sheet1!$D$16</definedName>
    <definedName name="solver_lhs6" localSheetId="0" hidden="1">Sheet1!$E$16</definedName>
    <definedName name="solver_lhs7" localSheetId="0" hidden="1">Sheet1!$I$13:$I$15</definedName>
    <definedName name="solver_lhs8" localSheetId="0" hidden="1">Sheet1!$I$13:$I$15</definedName>
    <definedName name="solver_lhs9" localSheetId="0" hidden="1">Sheet1!$I$13:$I$15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tri" hidden="1">1000</definedName>
    <definedName name="solver_num" localSheetId="0" hidden="1">7</definedName>
    <definedName name="solver_num" localSheetId="1" hidden="1">4</definedName>
    <definedName name="solver_nwt" localSheetId="0" hidden="1">1</definedName>
    <definedName name="solver_nwt" localSheetId="1" hidden="1">1</definedName>
    <definedName name="solver_opt" localSheetId="0" hidden="1">Sheet1!$E$18</definedName>
    <definedName name="solver_opt" localSheetId="1" hidden="1">Sheet2!$G$28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4</definedName>
    <definedName name="solver_rel1" localSheetId="1" hidden="1">1</definedName>
    <definedName name="solver_rel10" localSheetId="0" hidden="1">2</definedName>
    <definedName name="solver_rel2" localSheetId="0" hidden="1">2</definedName>
    <definedName name="solver_rel2" localSheetId="1" hidden="1">1</definedName>
    <definedName name="solver_rel3" localSheetId="0" hidden="1">2</definedName>
    <definedName name="solver_rel3" localSheetId="1" hidden="1">2</definedName>
    <definedName name="solver_rel4" localSheetId="0" hidden="1">2</definedName>
    <definedName name="solver_rel4" localSheetId="1" hidden="1">2</definedName>
    <definedName name="solver_rel5" localSheetId="0" hidden="1">2</definedName>
    <definedName name="solver_rel6" localSheetId="0" hidden="1">2</definedName>
    <definedName name="solver_rel7" localSheetId="0" hidden="1">1</definedName>
    <definedName name="solver_rel8" localSheetId="0" hidden="1">1</definedName>
    <definedName name="solver_rel9" localSheetId="0" hidden="1">1</definedName>
    <definedName name="solver_rhs1" localSheetId="0" hidden="1">"整数"</definedName>
    <definedName name="solver_rhs1" localSheetId="1" hidden="1">Sheet2!$B$19:$B$22</definedName>
    <definedName name="solver_rhs10" localSheetId="0" hidden="1">Sheet1!$B$10</definedName>
    <definedName name="solver_rhs2" localSheetId="0" hidden="1">Sheet1!$B$7</definedName>
    <definedName name="solver_rhs2" localSheetId="1" hidden="1">Sheet2!$B$24:$B$25</definedName>
    <definedName name="solver_rhs3" localSheetId="0" hidden="1">Sheet1!$B$10</definedName>
    <definedName name="solver_rhs3" localSheetId="1" hidden="1">Sheet2!$B$29:$B$33</definedName>
    <definedName name="solver_rhs4" localSheetId="0" hidden="1">Sheet1!$C$7</definedName>
    <definedName name="solver_rhs4" localSheetId="1" hidden="1">Sheet2!$D$19:$D$22</definedName>
    <definedName name="solver_rhs5" localSheetId="0" hidden="1">Sheet1!$D$7</definedName>
    <definedName name="solver_rhs6" localSheetId="0" hidden="1">Sheet1!$E$7</definedName>
    <definedName name="solver_rhs7" localSheetId="0" hidden="1">Sheet1!$J$13:$J$15</definedName>
    <definedName name="solver_rhs8" localSheetId="0" hidden="1">Sheet1!$J$13:$J$15</definedName>
    <definedName name="solver_rhs9" localSheetId="0" hidden="1">Sheet1!$J$13:$J$15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rsmp" hidden="1">2</definedName>
    <definedName name="solver_scl" localSheetId="0" hidden="1">1</definedName>
    <definedName name="solver_scl" localSheetId="1" hidden="1">1</definedName>
    <definedName name="solver_seed" hidden="1">0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56" l="1"/>
  <c r="N4" i="56"/>
  <c r="N3" i="56"/>
  <c r="K5" i="56"/>
  <c r="D20" i="56" s="1"/>
  <c r="L5" i="56"/>
  <c r="D21" i="56" s="1"/>
  <c r="M5" i="56"/>
  <c r="D22" i="56" s="1"/>
  <c r="J5" i="56"/>
  <c r="D19" i="56" s="1"/>
  <c r="O9" i="56"/>
  <c r="O8" i="56"/>
  <c r="K10" i="56"/>
  <c r="L10" i="56"/>
  <c r="M10" i="56"/>
  <c r="N10" i="56"/>
  <c r="J10" i="56"/>
  <c r="O14" i="56"/>
  <c r="E20" i="56" s="1"/>
  <c r="O15" i="56"/>
  <c r="E21" i="56" s="1"/>
  <c r="O16" i="56"/>
  <c r="E22" i="56" s="1"/>
  <c r="O13" i="56"/>
  <c r="E19" i="56" s="1"/>
  <c r="L17" i="56"/>
  <c r="M17" i="56"/>
  <c r="N17" i="56"/>
  <c r="K17" i="56"/>
  <c r="J17" i="56"/>
  <c r="B19" i="55"/>
  <c r="E18" i="55"/>
  <c r="D18" i="55"/>
  <c r="C18" i="55"/>
  <c r="B18" i="55"/>
  <c r="B17" i="55"/>
  <c r="E16" i="55"/>
  <c r="D16" i="55"/>
  <c r="C16" i="55"/>
  <c r="B16" i="55"/>
  <c r="J15" i="55"/>
  <c r="I15" i="55"/>
  <c r="J14" i="55"/>
  <c r="I14" i="55"/>
  <c r="J13" i="55"/>
  <c r="I13" i="55"/>
  <c r="B11" i="55"/>
  <c r="B10" i="55"/>
  <c r="B9" i="55"/>
  <c r="D31" i="56" l="1"/>
  <c r="D29" i="56"/>
  <c r="D30" i="56"/>
  <c r="D33" i="56"/>
  <c r="D32" i="56"/>
  <c r="D24" i="56"/>
  <c r="D25" i="56"/>
</calcChain>
</file>

<file path=xl/sharedStrings.xml><?xml version="1.0" encoding="utf-8"?>
<sst xmlns="http://schemas.openxmlformats.org/spreadsheetml/2006/main" count="115" uniqueCount="41">
  <si>
    <t>ARMY Problem</t>
  </si>
  <si>
    <t>Moving Cost Per Soldier ($)</t>
  </si>
  <si>
    <t>Base1</t>
  </si>
  <si>
    <t>Base2</t>
  </si>
  <si>
    <t>Base3</t>
  </si>
  <si>
    <t>Base4</t>
  </si>
  <si>
    <t>Supply</t>
  </si>
  <si>
    <t>Camp1</t>
  </si>
  <si>
    <t>Camp2</t>
  </si>
  <si>
    <t>Camp3</t>
  </si>
  <si>
    <t>Demand</t>
  </si>
  <si>
    <t>total supply</t>
  </si>
  <si>
    <t>total demand</t>
  </si>
  <si>
    <t>train</t>
  </si>
  <si>
    <t>recevied</t>
  </si>
  <si>
    <t>short</t>
  </si>
  <si>
    <t>total cost</t>
  </si>
  <si>
    <t>total recevied</t>
  </si>
  <si>
    <t>Cost of Shipping Per Product ($)</t>
  </si>
  <si>
    <t>Destinations</t>
  </si>
  <si>
    <t>Warehouse 1</t>
  </si>
  <si>
    <t>Warehouse 2</t>
  </si>
  <si>
    <t>Warehouse 3</t>
  </si>
  <si>
    <t>Warehouse 4</t>
  </si>
  <si>
    <t>Outflow</t>
  </si>
  <si>
    <t>Factory 1</t>
  </si>
  <si>
    <t>Factory 2</t>
  </si>
  <si>
    <t>Inflow</t>
  </si>
  <si>
    <t>Customer 1</t>
  </si>
  <si>
    <t>Customer 2</t>
  </si>
  <si>
    <t>Customer 3</t>
  </si>
  <si>
    <t>Customer 4</t>
  </si>
  <si>
    <t>Customer 5</t>
  </si>
  <si>
    <t>Warehouse Capacities</t>
  </si>
  <si>
    <t>Netflow</t>
  </si>
  <si>
    <t>&gt;=</t>
  </si>
  <si>
    <t>=</t>
  </si>
  <si>
    <t>Factory Capacities</t>
  </si>
  <si>
    <t>Customer Demands</t>
  </si>
  <si>
    <t>Total Cost</t>
  </si>
  <si>
    <t>Factory 2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</si>
</sst>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_(* #,##0.00_);_(* \(#,##0.00\);_(* &quot;-&quot;??_);_(@_)"/>
    <numFmt numFmtId="179" formatCode="&quot;$&quot;#,##0.00_);[Red]\(&quot;$&quot;#,##0.00\)"/>
  </numFmts>
  <fonts count="10">
    <font>
      <sz val="10"/>
      <name val="Arial"/>
      <charset val="134"/>
    </font>
    <font>
      <sz val="10.9"/>
      <color rgb="FF000000"/>
      <name val="CMR10"/>
      <family val="1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Geneva"/>
      <family val="1"/>
    </font>
    <font>
      <sz val="10"/>
      <name val="MS Sans Serif"/>
      <family val="1"/>
    </font>
    <font>
      <sz val="11"/>
      <color theme="1"/>
      <name val="宋体"/>
      <family val="3"/>
      <charset val="134"/>
      <scheme val="minor"/>
    </font>
    <font>
      <sz val="12"/>
      <color theme="1"/>
      <name val="굴림"/>
      <charset val="134"/>
    </font>
    <font>
      <sz val="12"/>
      <color theme="1"/>
      <name val="宋体"/>
      <family val="3"/>
      <charset val="134"/>
      <scheme val="minor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3" fillId="0" borderId="0"/>
    <xf numFmtId="0" fontId="5" fillId="0" borderId="0"/>
    <xf numFmtId="0" fontId="6" fillId="0" borderId="0">
      <alignment vertical="center"/>
    </xf>
    <xf numFmtId="0" fontId="7" fillId="0" borderId="0"/>
    <xf numFmtId="0" fontId="8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/>
    <xf numFmtId="0" fontId="0" fillId="7" borderId="0" xfId="0" applyFill="1"/>
    <xf numFmtId="0" fontId="0" fillId="0" borderId="0" xfId="0" applyAlignment="1">
      <alignment horizontal="center"/>
    </xf>
  </cellXfs>
  <cellStyles count="8">
    <cellStyle name="Comma 2" xfId="1" xr:uid="{00000000-0005-0000-0000-000031000000}"/>
    <cellStyle name="Currency 2" xfId="2" xr:uid="{00000000-0005-0000-0000-000032000000}"/>
    <cellStyle name="Normal 2" xfId="3" xr:uid="{00000000-0005-0000-0000-000033000000}"/>
    <cellStyle name="Normal 3" xfId="4" xr:uid="{00000000-0005-0000-0000-000034000000}"/>
    <cellStyle name="Normal 4" xfId="5" xr:uid="{00000000-0005-0000-0000-000035000000}"/>
    <cellStyle name="Normal 5" xfId="6" xr:uid="{00000000-0005-0000-0000-000036000000}"/>
    <cellStyle name="Normal 8" xfId="7" xr:uid="{00000000-0005-0000-0000-000037000000}"/>
    <cellStyle name="常规" xfId="0" builtinId="0"/>
  </cellStyles>
  <dxfs count="0"/>
  <tableStyles count="0" defaultTableStyle="TableStyleMedium9" defaultPivotStyle="PivotStyleLight16"/>
  <colors>
    <mruColors>
      <color rgb="FF99FFCC"/>
      <color rgb="FF66FFFF"/>
      <color rgb="FFCCFFFF"/>
      <color rgb="FFFFFFCC"/>
      <color rgb="FFCCFFCC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selection activeCell="I14" sqref="I14"/>
    </sheetView>
  </sheetViews>
  <sheetFormatPr defaultColWidth="8.7265625" defaultRowHeight="12.5"/>
  <cols>
    <col min="1" max="1" width="14.6328125" customWidth="1"/>
    <col min="7" max="7" width="8.81640625"/>
  </cols>
  <sheetData>
    <row r="1" spans="1:10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10">
      <c r="A4" t="s">
        <v>7</v>
      </c>
      <c r="B4">
        <v>34</v>
      </c>
      <c r="C4">
        <v>26</v>
      </c>
      <c r="D4">
        <v>29</v>
      </c>
      <c r="E4">
        <v>31</v>
      </c>
      <c r="F4">
        <v>400</v>
      </c>
    </row>
    <row r="5" spans="1:10">
      <c r="A5" t="s">
        <v>8</v>
      </c>
      <c r="B5">
        <v>42</v>
      </c>
      <c r="C5">
        <v>33</v>
      </c>
      <c r="D5">
        <v>28</v>
      </c>
      <c r="E5">
        <v>35</v>
      </c>
      <c r="F5">
        <v>350</v>
      </c>
    </row>
    <row r="6" spans="1:10">
      <c r="A6" t="s">
        <v>9</v>
      </c>
      <c r="B6">
        <v>36</v>
      </c>
      <c r="C6">
        <v>29</v>
      </c>
      <c r="D6">
        <v>32</v>
      </c>
      <c r="E6">
        <v>38</v>
      </c>
      <c r="F6">
        <v>500</v>
      </c>
    </row>
    <row r="7" spans="1:10">
      <c r="A7" t="s">
        <v>10</v>
      </c>
      <c r="B7">
        <v>275</v>
      </c>
      <c r="C7">
        <v>375</v>
      </c>
      <c r="D7">
        <v>350</v>
      </c>
      <c r="E7">
        <v>325</v>
      </c>
    </row>
    <row r="9" spans="1:10">
      <c r="A9" t="s">
        <v>11</v>
      </c>
      <c r="B9">
        <f>SUM(F4:F6)</f>
        <v>1250</v>
      </c>
    </row>
    <row r="10" spans="1:10">
      <c r="A10" t="s">
        <v>12</v>
      </c>
      <c r="B10">
        <f>SUM(B7:E7)</f>
        <v>1325</v>
      </c>
    </row>
    <row r="11" spans="1:10">
      <c r="A11" t="s">
        <v>13</v>
      </c>
      <c r="B11">
        <f>B10-B9</f>
        <v>75</v>
      </c>
    </row>
    <row r="12" spans="1:10">
      <c r="B12" t="s">
        <v>2</v>
      </c>
      <c r="C12" t="s">
        <v>3</v>
      </c>
      <c r="D12" t="s">
        <v>4</v>
      </c>
      <c r="E12" t="s">
        <v>5</v>
      </c>
    </row>
    <row r="13" spans="1:10">
      <c r="A13" t="s">
        <v>7</v>
      </c>
      <c r="B13" s="5">
        <v>0</v>
      </c>
      <c r="C13" s="5">
        <v>131</v>
      </c>
      <c r="D13" s="5">
        <v>0</v>
      </c>
      <c r="E13" s="5">
        <v>325</v>
      </c>
      <c r="F13" s="7"/>
      <c r="H13">
        <v>400</v>
      </c>
      <c r="I13">
        <f>SUM(B13:E13)</f>
        <v>456</v>
      </c>
      <c r="J13">
        <f>F4+B17</f>
        <v>456.25</v>
      </c>
    </row>
    <row r="14" spans="1:10">
      <c r="A14" t="s">
        <v>8</v>
      </c>
      <c r="B14" s="5">
        <v>0</v>
      </c>
      <c r="C14" s="5">
        <v>0</v>
      </c>
      <c r="D14" s="5">
        <v>350</v>
      </c>
      <c r="E14" s="5">
        <v>0</v>
      </c>
      <c r="F14" s="7"/>
      <c r="H14">
        <v>350</v>
      </c>
      <c r="I14">
        <f t="shared" ref="I14:I15" si="0">SUM(B14:E14)</f>
        <v>350</v>
      </c>
      <c r="J14">
        <f>F5+B17</f>
        <v>406.25</v>
      </c>
    </row>
    <row r="15" spans="1:10">
      <c r="A15" t="s">
        <v>9</v>
      </c>
      <c r="B15" s="5">
        <v>275</v>
      </c>
      <c r="C15" s="5">
        <v>244</v>
      </c>
      <c r="D15" s="5">
        <v>0</v>
      </c>
      <c r="E15" s="5">
        <v>0</v>
      </c>
      <c r="F15" s="7"/>
      <c r="H15">
        <v>500</v>
      </c>
      <c r="I15">
        <f t="shared" si="0"/>
        <v>519</v>
      </c>
      <c r="J15">
        <f>F6+B17</f>
        <v>556.25</v>
      </c>
    </row>
    <row r="16" spans="1:10">
      <c r="A16" t="s">
        <v>14</v>
      </c>
      <c r="B16">
        <f>SUM(B13:B15)</f>
        <v>275</v>
      </c>
      <c r="C16">
        <f>SUM(C13:C15)</f>
        <v>375</v>
      </c>
      <c r="D16">
        <f>SUM(D13:D15)</f>
        <v>350</v>
      </c>
      <c r="E16">
        <f>SUM(E13:E15)</f>
        <v>325</v>
      </c>
    </row>
    <row r="17" spans="1:5">
      <c r="A17" s="8" t="s">
        <v>15</v>
      </c>
      <c r="B17">
        <f>0.75*B11</f>
        <v>56.25</v>
      </c>
    </row>
    <row r="18" spans="1:5">
      <c r="A18" t="s">
        <v>16</v>
      </c>
      <c r="B18">
        <f>B13*34+C13*26+D13*29+E13*31+F13*0</f>
        <v>13481</v>
      </c>
      <c r="C18">
        <f>B14*42+C14*33+D14*28+E14*35+F14*0</f>
        <v>9800</v>
      </c>
      <c r="D18">
        <f>B15*36+C15*29+D15*32+E15*38+F15*0</f>
        <v>16976</v>
      </c>
      <c r="E18" s="9">
        <f>SUM(B18:D18)</f>
        <v>40257</v>
      </c>
    </row>
    <row r="19" spans="1:5">
      <c r="A19" s="8" t="s">
        <v>17</v>
      </c>
      <c r="B19">
        <f>SUM(B16:F16)</f>
        <v>1325</v>
      </c>
    </row>
  </sheetData>
  <mergeCells count="2">
    <mergeCell ref="A1:J1"/>
    <mergeCell ref="A2:J2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tabSelected="1" workbookViewId="0">
      <selection activeCell="D34" sqref="D34"/>
    </sheetView>
  </sheetViews>
  <sheetFormatPr defaultColWidth="9" defaultRowHeight="12.5"/>
  <cols>
    <col min="1" max="1" width="13.26953125" customWidth="1"/>
    <col min="2" max="2" width="13" customWidth="1"/>
    <col min="3" max="3" width="12.6328125" customWidth="1"/>
    <col min="4" max="4" width="13" customWidth="1"/>
    <col min="5" max="5" width="11.90625" customWidth="1"/>
    <col min="6" max="7" width="12.1796875" customWidth="1"/>
    <col min="9" max="9" width="12.7265625" customWidth="1"/>
    <col min="10" max="10" width="10.81640625" customWidth="1"/>
    <col min="11" max="11" width="11.6328125" customWidth="1"/>
    <col min="12" max="12" width="12.81640625" customWidth="1"/>
    <col min="13" max="13" width="11.81640625" customWidth="1"/>
    <col min="14" max="14" width="10.36328125" customWidth="1"/>
  </cols>
  <sheetData>
    <row r="1" spans="1:16">
      <c r="A1" s="10" t="s">
        <v>18</v>
      </c>
      <c r="B1" s="10"/>
      <c r="C1" s="10"/>
      <c r="D1" s="10"/>
      <c r="E1" s="10"/>
      <c r="F1" s="10"/>
      <c r="J1" s="10" t="s">
        <v>19</v>
      </c>
      <c r="K1" s="10"/>
      <c r="L1" s="10"/>
      <c r="M1" s="10"/>
      <c r="N1" s="10"/>
      <c r="O1" s="10"/>
      <c r="P1" s="10"/>
    </row>
    <row r="2" spans="1:16">
      <c r="B2" t="s">
        <v>20</v>
      </c>
      <c r="C2" t="s">
        <v>21</v>
      </c>
      <c r="D2" t="s">
        <v>22</v>
      </c>
      <c r="E2" t="s">
        <v>23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6">
      <c r="A3" t="s">
        <v>25</v>
      </c>
      <c r="B3">
        <v>0.5</v>
      </c>
      <c r="C3">
        <v>0.5</v>
      </c>
      <c r="D3">
        <v>1</v>
      </c>
      <c r="E3">
        <v>0.2</v>
      </c>
      <c r="I3" t="s">
        <v>25</v>
      </c>
      <c r="J3" s="5">
        <v>3000</v>
      </c>
      <c r="K3" s="5">
        <v>20000</v>
      </c>
      <c r="L3" s="5">
        <v>0</v>
      </c>
      <c r="M3" s="5">
        <v>15000</v>
      </c>
      <c r="N3" s="6">
        <f>SUM(J3:M3)</f>
        <v>38000</v>
      </c>
    </row>
    <row r="4" spans="1:16">
      <c r="A4" t="s">
        <v>26</v>
      </c>
      <c r="B4">
        <v>1.5</v>
      </c>
      <c r="C4">
        <v>0.3</v>
      </c>
      <c r="D4">
        <v>0.5</v>
      </c>
      <c r="E4">
        <v>0.2</v>
      </c>
      <c r="I4" s="8" t="s">
        <v>40</v>
      </c>
      <c r="J4" s="5">
        <v>0</v>
      </c>
      <c r="K4" s="5">
        <v>0</v>
      </c>
      <c r="L4" s="5">
        <v>28000</v>
      </c>
      <c r="M4" s="5">
        <v>0</v>
      </c>
      <c r="N4" s="6">
        <f>SUM(J4:M4)</f>
        <v>28000</v>
      </c>
    </row>
    <row r="5" spans="1:16">
      <c r="I5" t="s">
        <v>27</v>
      </c>
      <c r="J5" s="6">
        <f>SUM(J3:J4)</f>
        <v>3000</v>
      </c>
      <c r="K5" s="6">
        <f t="shared" ref="K5:M5" si="0">SUM(K3:K4)</f>
        <v>20000</v>
      </c>
      <c r="L5" s="6">
        <f t="shared" si="0"/>
        <v>28000</v>
      </c>
      <c r="M5" s="6">
        <f t="shared" si="0"/>
        <v>15000</v>
      </c>
    </row>
    <row r="6" spans="1:16">
      <c r="A6" s="10" t="s">
        <v>18</v>
      </c>
      <c r="B6" s="10"/>
      <c r="C6" s="10"/>
      <c r="D6" s="10"/>
      <c r="E6" s="10"/>
      <c r="F6" s="10"/>
      <c r="J6" s="10" t="s">
        <v>19</v>
      </c>
      <c r="K6" s="10"/>
      <c r="L6" s="10"/>
      <c r="M6" s="10"/>
      <c r="N6" s="10"/>
      <c r="O6" s="10"/>
      <c r="P6" s="10"/>
    </row>
    <row r="7" spans="1:16" ht="14">
      <c r="B7" t="s">
        <v>28</v>
      </c>
      <c r="C7" t="s">
        <v>29</v>
      </c>
      <c r="D7" s="1" t="s">
        <v>30</v>
      </c>
      <c r="E7" t="s">
        <v>31</v>
      </c>
      <c r="F7" t="s">
        <v>32</v>
      </c>
      <c r="J7" t="s">
        <v>28</v>
      </c>
      <c r="K7" t="s">
        <v>29</v>
      </c>
      <c r="L7" s="1" t="s">
        <v>30</v>
      </c>
      <c r="M7" t="s">
        <v>31</v>
      </c>
      <c r="N7" t="s">
        <v>32</v>
      </c>
      <c r="O7" t="s">
        <v>24</v>
      </c>
    </row>
    <row r="8" spans="1:16">
      <c r="A8" t="s">
        <v>25</v>
      </c>
      <c r="B8">
        <v>1.75</v>
      </c>
      <c r="C8">
        <v>2.5</v>
      </c>
      <c r="D8">
        <v>1.5</v>
      </c>
      <c r="E8">
        <v>2</v>
      </c>
      <c r="F8">
        <v>1.5</v>
      </c>
      <c r="I8" t="s">
        <v>25</v>
      </c>
      <c r="J8" s="5">
        <v>18000</v>
      </c>
      <c r="K8" s="5">
        <v>0</v>
      </c>
      <c r="L8" s="5">
        <v>0</v>
      </c>
      <c r="M8" s="5">
        <v>0</v>
      </c>
      <c r="N8" s="5">
        <v>0</v>
      </c>
      <c r="O8" s="6">
        <f>SUM(J8:N8)</f>
        <v>18000</v>
      </c>
    </row>
    <row r="9" spans="1:16">
      <c r="A9" t="s">
        <v>26</v>
      </c>
      <c r="B9">
        <v>2</v>
      </c>
      <c r="C9">
        <v>2.5</v>
      </c>
      <c r="D9">
        <v>2.5</v>
      </c>
      <c r="E9">
        <v>1.5</v>
      </c>
      <c r="F9">
        <v>1</v>
      </c>
      <c r="I9" s="8" t="s">
        <v>40</v>
      </c>
      <c r="J9" s="5">
        <v>0</v>
      </c>
      <c r="K9" s="5">
        <v>0</v>
      </c>
      <c r="L9" s="5">
        <v>0</v>
      </c>
      <c r="M9" s="5">
        <v>32000</v>
      </c>
      <c r="N9" s="5">
        <v>0</v>
      </c>
      <c r="O9" s="6">
        <f>SUM(J9:N9)</f>
        <v>32000</v>
      </c>
    </row>
    <row r="10" spans="1:16">
      <c r="I10" t="s">
        <v>27</v>
      </c>
      <c r="J10" s="6">
        <f>SUM(J8:J9)</f>
        <v>18000</v>
      </c>
      <c r="K10" s="6">
        <f t="shared" ref="K10:N10" si="1">SUM(K8:K9)</f>
        <v>0</v>
      </c>
      <c r="L10" s="6">
        <f t="shared" si="1"/>
        <v>0</v>
      </c>
      <c r="M10" s="6">
        <f t="shared" si="1"/>
        <v>32000</v>
      </c>
      <c r="N10" s="6">
        <f t="shared" si="1"/>
        <v>0</v>
      </c>
    </row>
    <row r="11" spans="1:16">
      <c r="A11" s="10" t="s">
        <v>18</v>
      </c>
      <c r="B11" s="10"/>
      <c r="C11" s="10"/>
      <c r="D11" s="10"/>
      <c r="E11" s="10"/>
      <c r="F11" s="10"/>
      <c r="J11" s="10" t="s">
        <v>19</v>
      </c>
      <c r="K11" s="10"/>
      <c r="L11" s="10"/>
      <c r="M11" s="10"/>
      <c r="N11" s="10"/>
    </row>
    <row r="12" spans="1:16" ht="14">
      <c r="B12" t="s">
        <v>28</v>
      </c>
      <c r="C12" t="s">
        <v>29</v>
      </c>
      <c r="D12" s="1" t="s">
        <v>30</v>
      </c>
      <c r="E12" t="s">
        <v>31</v>
      </c>
      <c r="F12" t="s">
        <v>32</v>
      </c>
      <c r="J12" t="s">
        <v>28</v>
      </c>
      <c r="K12" t="s">
        <v>29</v>
      </c>
      <c r="L12" s="1" t="s">
        <v>30</v>
      </c>
      <c r="M12" t="s">
        <v>31</v>
      </c>
      <c r="N12" t="s">
        <v>32</v>
      </c>
      <c r="O12" t="s">
        <v>24</v>
      </c>
    </row>
    <row r="13" spans="1:16" ht="14">
      <c r="A13" s="1" t="s">
        <v>20</v>
      </c>
      <c r="B13">
        <v>1.5</v>
      </c>
      <c r="C13">
        <v>1.5</v>
      </c>
      <c r="D13">
        <v>0.5</v>
      </c>
      <c r="E13">
        <v>1.5</v>
      </c>
      <c r="F13">
        <v>3</v>
      </c>
      <c r="I13" s="1" t="s">
        <v>20</v>
      </c>
      <c r="J13" s="5">
        <v>0</v>
      </c>
      <c r="K13" s="5">
        <v>3000</v>
      </c>
      <c r="L13" s="5">
        <v>0</v>
      </c>
      <c r="M13" s="5">
        <v>0</v>
      </c>
      <c r="N13" s="5">
        <v>0</v>
      </c>
      <c r="O13" s="3">
        <f>SUM(J13:N13)</f>
        <v>3000</v>
      </c>
    </row>
    <row r="14" spans="1:16" ht="14">
      <c r="A14" s="1" t="s">
        <v>21</v>
      </c>
      <c r="B14">
        <v>1</v>
      </c>
      <c r="C14">
        <v>0.5</v>
      </c>
      <c r="D14">
        <v>0.5</v>
      </c>
      <c r="E14">
        <v>1</v>
      </c>
      <c r="F14">
        <v>0.5</v>
      </c>
      <c r="I14" s="1" t="s">
        <v>21</v>
      </c>
      <c r="J14" s="5">
        <v>0</v>
      </c>
      <c r="K14" s="5">
        <v>20000</v>
      </c>
      <c r="L14" s="5">
        <v>0</v>
      </c>
      <c r="M14" s="5">
        <v>0</v>
      </c>
      <c r="N14" s="5">
        <v>0</v>
      </c>
      <c r="O14" s="3">
        <f t="shared" ref="O14:O16" si="2">SUM(J14:N14)</f>
        <v>20000</v>
      </c>
    </row>
    <row r="15" spans="1:16" ht="14">
      <c r="A15" s="1" t="s">
        <v>22</v>
      </c>
      <c r="B15">
        <v>1</v>
      </c>
      <c r="C15">
        <v>1.5</v>
      </c>
      <c r="D15">
        <v>2</v>
      </c>
      <c r="E15">
        <v>2</v>
      </c>
      <c r="F15">
        <v>0.5</v>
      </c>
      <c r="I15" s="1" t="s">
        <v>22</v>
      </c>
      <c r="J15" s="5">
        <v>12000</v>
      </c>
      <c r="K15" s="5">
        <v>0</v>
      </c>
      <c r="L15" s="5">
        <v>0</v>
      </c>
      <c r="M15" s="5">
        <v>0</v>
      </c>
      <c r="N15" s="5">
        <v>16000</v>
      </c>
      <c r="O15" s="3">
        <f t="shared" si="2"/>
        <v>28000</v>
      </c>
    </row>
    <row r="16" spans="1:16" ht="14">
      <c r="A16" s="1" t="s">
        <v>23</v>
      </c>
      <c r="B16">
        <v>2.5</v>
      </c>
      <c r="C16">
        <v>1.5</v>
      </c>
      <c r="D16">
        <v>0.2</v>
      </c>
      <c r="E16">
        <v>1.5</v>
      </c>
      <c r="F16">
        <v>0.5</v>
      </c>
      <c r="I16" s="1" t="s">
        <v>23</v>
      </c>
      <c r="J16" s="5">
        <v>0</v>
      </c>
      <c r="K16" s="5">
        <v>0</v>
      </c>
      <c r="L16" s="5">
        <v>15000</v>
      </c>
      <c r="M16" s="5">
        <v>0</v>
      </c>
      <c r="N16" s="5">
        <v>0</v>
      </c>
      <c r="O16" s="3">
        <f t="shared" si="2"/>
        <v>15000</v>
      </c>
    </row>
    <row r="17" spans="1:14">
      <c r="I17" t="s">
        <v>27</v>
      </c>
      <c r="J17" s="3">
        <f>SUM(J13:J16)</f>
        <v>12000</v>
      </c>
      <c r="K17" s="3">
        <f>SUM(K13:K16)</f>
        <v>23000</v>
      </c>
      <c r="L17" s="3">
        <f t="shared" ref="L17:N17" si="3">SUM(L13:L16)</f>
        <v>15000</v>
      </c>
      <c r="M17" s="3">
        <f t="shared" si="3"/>
        <v>0</v>
      </c>
      <c r="N17" s="3">
        <f t="shared" si="3"/>
        <v>16000</v>
      </c>
    </row>
    <row r="18" spans="1:14">
      <c r="A18" s="10" t="s">
        <v>33</v>
      </c>
      <c r="B18" s="10"/>
      <c r="D18" t="s">
        <v>27</v>
      </c>
      <c r="E18" t="s">
        <v>34</v>
      </c>
    </row>
    <row r="19" spans="1:14" ht="14">
      <c r="A19" t="s">
        <v>20</v>
      </c>
      <c r="B19" s="2">
        <v>45000</v>
      </c>
      <c r="C19" s="1" t="s">
        <v>35</v>
      </c>
      <c r="D19" s="3">
        <f>J5</f>
        <v>3000</v>
      </c>
      <c r="E19" s="3">
        <f>O13</f>
        <v>3000</v>
      </c>
      <c r="F19" t="s">
        <v>36</v>
      </c>
      <c r="G19">
        <v>0</v>
      </c>
    </row>
    <row r="20" spans="1:14" ht="14">
      <c r="A20" t="s">
        <v>21</v>
      </c>
      <c r="B20" s="2">
        <v>20000</v>
      </c>
      <c r="C20" s="1" t="s">
        <v>35</v>
      </c>
      <c r="D20" s="3">
        <f>K5</f>
        <v>20000</v>
      </c>
      <c r="E20" s="3">
        <f t="shared" ref="E20:E22" si="4">O14</f>
        <v>20000</v>
      </c>
      <c r="F20" t="s">
        <v>36</v>
      </c>
      <c r="G20">
        <v>0</v>
      </c>
    </row>
    <row r="21" spans="1:14">
      <c r="A21" t="s">
        <v>22</v>
      </c>
      <c r="B21">
        <v>30000</v>
      </c>
      <c r="C21" t="s">
        <v>35</v>
      </c>
      <c r="D21" s="3">
        <f>L5</f>
        <v>28000</v>
      </c>
      <c r="E21" s="3">
        <f t="shared" si="4"/>
        <v>28000</v>
      </c>
      <c r="F21" t="s">
        <v>36</v>
      </c>
      <c r="G21">
        <v>0</v>
      </c>
    </row>
    <row r="22" spans="1:14">
      <c r="A22" t="s">
        <v>23</v>
      </c>
      <c r="B22">
        <v>15000</v>
      </c>
      <c r="C22" t="s">
        <v>35</v>
      </c>
      <c r="D22" s="3">
        <f>M5</f>
        <v>15000</v>
      </c>
      <c r="E22" s="3">
        <f t="shared" si="4"/>
        <v>15000</v>
      </c>
      <c r="F22" t="s">
        <v>36</v>
      </c>
      <c r="G22">
        <v>0</v>
      </c>
    </row>
    <row r="23" spans="1:14">
      <c r="A23" s="10" t="s">
        <v>37</v>
      </c>
      <c r="B23" s="10"/>
      <c r="D23" t="s">
        <v>24</v>
      </c>
    </row>
    <row r="24" spans="1:14" ht="14">
      <c r="A24" s="1" t="s">
        <v>25</v>
      </c>
      <c r="B24">
        <v>60000</v>
      </c>
      <c r="C24" t="s">
        <v>35</v>
      </c>
      <c r="D24" s="3">
        <f>O8+N3</f>
        <v>56000</v>
      </c>
    </row>
    <row r="25" spans="1:14" ht="14">
      <c r="A25" s="1" t="s">
        <v>26</v>
      </c>
      <c r="B25">
        <v>60000</v>
      </c>
      <c r="C25" t="s">
        <v>35</v>
      </c>
      <c r="D25" s="3">
        <f>N4+O9</f>
        <v>60000</v>
      </c>
    </row>
    <row r="28" spans="1:14">
      <c r="A28" s="10" t="s">
        <v>38</v>
      </c>
      <c r="B28" s="10"/>
      <c r="D28" t="s">
        <v>27</v>
      </c>
      <c r="F28" t="s">
        <v>39</v>
      </c>
      <c r="G28" s="4">
        <f>SUMPRODUCT(B3:E4,J3:M4)+SUMPRODUCT(B8:F9,J8:N9)+SUMPRODUCT(B13:F16,J13:N16)</f>
        <v>145500</v>
      </c>
    </row>
    <row r="29" spans="1:14">
      <c r="A29" t="s">
        <v>28</v>
      </c>
      <c r="B29">
        <v>30000</v>
      </c>
      <c r="C29" t="s">
        <v>36</v>
      </c>
      <c r="D29" s="3">
        <f>J17+J10</f>
        <v>30000</v>
      </c>
    </row>
    <row r="30" spans="1:14">
      <c r="A30" t="s">
        <v>29</v>
      </c>
      <c r="B30">
        <v>23000</v>
      </c>
      <c r="C30" t="s">
        <v>36</v>
      </c>
      <c r="D30" s="3">
        <f>K17+K10</f>
        <v>23000</v>
      </c>
    </row>
    <row r="31" spans="1:14">
      <c r="A31" t="s">
        <v>30</v>
      </c>
      <c r="B31">
        <v>15000</v>
      </c>
      <c r="C31" t="s">
        <v>36</v>
      </c>
      <c r="D31" s="3">
        <f>L17+L10</f>
        <v>15000</v>
      </c>
    </row>
    <row r="32" spans="1:14">
      <c r="A32" t="s">
        <v>31</v>
      </c>
      <c r="B32">
        <v>32000</v>
      </c>
      <c r="C32" t="s">
        <v>36</v>
      </c>
      <c r="D32" s="3">
        <f>M17+M10</f>
        <v>32000</v>
      </c>
    </row>
    <row r="33" spans="1:4">
      <c r="A33" t="s">
        <v>32</v>
      </c>
      <c r="B33">
        <v>16000</v>
      </c>
      <c r="C33" t="s">
        <v>36</v>
      </c>
      <c r="D33" s="3">
        <f>N17+N10</f>
        <v>16000</v>
      </c>
    </row>
  </sheetData>
  <mergeCells count="9">
    <mergeCell ref="A18:B18"/>
    <mergeCell ref="A23:B23"/>
    <mergeCell ref="A28:B28"/>
    <mergeCell ref="A1:F1"/>
    <mergeCell ref="J1:P1"/>
    <mergeCell ref="A6:F6"/>
    <mergeCell ref="J6:P6"/>
    <mergeCell ref="A11:F11"/>
    <mergeCell ref="J11:N1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Landa-Silva</dc:creator>
  <cp:lastModifiedBy>Mingyuan LIU (20808220)</cp:lastModifiedBy>
  <cp:lastPrinted>2009-10-26T11:53:00Z</cp:lastPrinted>
  <dcterms:created xsi:type="dcterms:W3CDTF">2007-10-21T20:35:00Z</dcterms:created>
  <dcterms:modified xsi:type="dcterms:W3CDTF">2025-10-28T09:07:10Z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82A6DF68B9FD4C05BBDE94B3071018C8_12</vt:lpwstr>
  </property>
  <property fmtid="{D5CDD505-2E9C-101B-9397-08002B2CF9AE}" pid="3" name="KSOProductBuildVer">
    <vt:lpwstr>2052-12.1.0.23125</vt:lpwstr>
  </property>
</Properties>
</file>