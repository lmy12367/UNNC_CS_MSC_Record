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1206\Desktop\exeices\"/>
    </mc:Choice>
  </mc:AlternateContent>
  <xr:revisionPtr revIDLastSave="0" documentId="13_ncr:1_{C8114D80-5DC4-4987-A934-CF8E081252AE}" xr6:coauthVersionLast="47" xr6:coauthVersionMax="47" xr10:uidLastSave="{00000000-0000-0000-0000-000000000000}"/>
  <bookViews>
    <workbookView xWindow="-3810" yWindow="3340" windowWidth="19200" windowHeight="9970" tabRatio="851" firstSheet="4" activeTab="10" xr2:uid="{00000000-000D-0000-FFFF-FFFF00000000}"/>
  </bookViews>
  <sheets>
    <sheet name="BankABC1 (6)" sheetId="56" r:id="rId1"/>
    <sheet name="BankABC1" sheetId="42" r:id="rId2"/>
    <sheet name="BankABC1 (2)" sheetId="52" r:id="rId3"/>
    <sheet name="BankABC1 (3)" sheetId="51" r:id="rId4"/>
    <sheet name="BankABC1 (4)" sheetId="53" r:id="rId5"/>
    <sheet name="BankABC1 (5)" sheetId="54" r:id="rId6"/>
    <sheet name="BankABC2 (2)" sheetId="57" r:id="rId7"/>
    <sheet name="BankABC2" sheetId="33" r:id="rId8"/>
    <sheet name="Apex" sheetId="47" r:id="rId9"/>
    <sheet name="VegetablesDistribution" sheetId="48" r:id="rId10"/>
    <sheet name="CoffeeBlend" sheetId="49" r:id="rId11"/>
  </sheets>
  <definedNames>
    <definedName name="coin_cuttype" localSheetId="9" hidden="1">1</definedName>
    <definedName name="coin_dualtol" localSheetId="9" hidden="1">0.0000001</definedName>
    <definedName name="coin_heurs" localSheetId="9" hidden="1">1</definedName>
    <definedName name="coin_integerpresolve" localSheetId="9" hidden="1">1</definedName>
    <definedName name="coin_presolve1" localSheetId="9" hidden="1">1</definedName>
    <definedName name="coin_primaltol" localSheetId="9" hidden="1">0.0000001</definedName>
    <definedName name="sencount" hidden="1">2</definedName>
    <definedName name="solver_adj" localSheetId="8" hidden="1">Apex!$C$4:$C$5</definedName>
    <definedName name="solver_adj" localSheetId="1" hidden="1">BankABC1!$D$4:$D$7</definedName>
    <definedName name="solver_adj" localSheetId="2" hidden="1">'BankABC1 (2)'!$D$4:$D$7</definedName>
    <definedName name="solver_adj" localSheetId="3" hidden="1">'BankABC1 (3)'!$D$4:$D$7</definedName>
    <definedName name="solver_adj" localSheetId="4" hidden="1">'BankABC1 (4)'!$D$4:$D$7</definedName>
    <definedName name="solver_adj" localSheetId="5" hidden="1">'BankABC1 (5)'!$D$4:$D$7</definedName>
    <definedName name="solver_adj" localSheetId="0" hidden="1">'BankABC1 (6)'!$D$4:$D$7</definedName>
    <definedName name="solver_adj" localSheetId="6" hidden="1">'BankABC2 (2)'!$D$4:$D$7</definedName>
    <definedName name="solver_adj" localSheetId="9" hidden="1">VegetablesDistribution!$L$4:$L$18</definedName>
    <definedName name="solver_adj_ob" localSheetId="9" hidden="1">1</definedName>
    <definedName name="solver_cha" localSheetId="9" hidden="1">0</definedName>
    <definedName name="solver_chc1" localSheetId="9" hidden="1">0</definedName>
    <definedName name="solver_chc2" localSheetId="9" hidden="1">0</definedName>
    <definedName name="solver_chc3" localSheetId="9" hidden="1">0</definedName>
    <definedName name="solver_chn" localSheetId="9" hidden="1">4</definedName>
    <definedName name="solver_chp1" localSheetId="9" hidden="1">0</definedName>
    <definedName name="solver_chp2" localSheetId="9" hidden="1">0</definedName>
    <definedName name="solver_chp3" localSheetId="9" hidden="1">0</definedName>
    <definedName name="solver_cht" localSheetId="9" hidden="1">0</definedName>
    <definedName name="solver_cir1" localSheetId="9" hidden="1">1</definedName>
    <definedName name="solver_cir2" localSheetId="9" hidden="1">1</definedName>
    <definedName name="solver_cir3" localSheetId="9" hidden="1">1</definedName>
    <definedName name="solver_con" localSheetId="9" hidden="1">" "</definedName>
    <definedName name="solver_con1" localSheetId="9" hidden="1">" "</definedName>
    <definedName name="solver_con2" localSheetId="9" hidden="1">" "</definedName>
    <definedName name="solver_con3" localSheetId="9" hidden="1">" "</definedName>
    <definedName name="solver_cvg" localSheetId="8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0" hidden="1">0.0001</definedName>
    <definedName name="solver_cvg" localSheetId="7" hidden="1">0.0001</definedName>
    <definedName name="solver_cvg" localSheetId="6" hidden="1">0.0001</definedName>
    <definedName name="solver_cvg" localSheetId="10" hidden="1">0.0001</definedName>
    <definedName name="solver_cvg" localSheetId="9" hidden="1">0.0001</definedName>
    <definedName name="solver_dia" localSheetId="9" hidden="1">5</definedName>
    <definedName name="solver_drv" localSheetId="8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0" hidden="1">1</definedName>
    <definedName name="solver_drv" localSheetId="7" hidden="1">1</definedName>
    <definedName name="solver_drv" localSheetId="6" hidden="1">1</definedName>
    <definedName name="solver_drv" localSheetId="10" hidden="1">1</definedName>
    <definedName name="solver_drv" localSheetId="9" hidden="1">1</definedName>
    <definedName name="solver_eng" localSheetId="8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0" hidden="1">2</definedName>
    <definedName name="solver_eng" localSheetId="7" hidden="1">2</definedName>
    <definedName name="solver_eng" localSheetId="6" hidden="1">2</definedName>
    <definedName name="solver_eng" localSheetId="10" hidden="1">2</definedName>
    <definedName name="solver_eng" localSheetId="9" hidden="1">2</definedName>
    <definedName name="solver_est" localSheetId="8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0" hidden="1">1</definedName>
    <definedName name="solver_est" localSheetId="7" hidden="1">1</definedName>
    <definedName name="solver_est" localSheetId="6" hidden="1">1</definedName>
    <definedName name="solver_est" localSheetId="10" hidden="1">1</definedName>
    <definedName name="solver_est" localSheetId="9" hidden="1">1</definedName>
    <definedName name="solver_iao" localSheetId="9" hidden="1">0</definedName>
    <definedName name="solver_int" localSheetId="9" hidden="1">0</definedName>
    <definedName name="solver_irs" localSheetId="9" hidden="1">0</definedName>
    <definedName name="solver_ism" localSheetId="9" hidden="1">0</definedName>
    <definedName name="solver_itr" localSheetId="8" hidden="1">2147483647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itr" localSheetId="0" hidden="1">100</definedName>
    <definedName name="solver_itr" localSheetId="7" hidden="1">100</definedName>
    <definedName name="solver_itr" localSheetId="6" hidden="1">2147483647</definedName>
    <definedName name="solver_itr" localSheetId="10" hidden="1">100</definedName>
    <definedName name="solver_itr" localSheetId="9" hidden="1">100</definedName>
    <definedName name="solver_kiv" localSheetId="9" hidden="1">2E+30</definedName>
    <definedName name="solver_lhs_ob1" localSheetId="9" hidden="1">0</definedName>
    <definedName name="solver_lhs_ob2" localSheetId="9" hidden="1">0</definedName>
    <definedName name="solver_lhs_ob3" localSheetId="9" hidden="1">0</definedName>
    <definedName name="solver_lhs1" localSheetId="8" hidden="1">Apex!$C$4</definedName>
    <definedName name="solver_lhs1" localSheetId="1" hidden="1">BankABC1!$D$9</definedName>
    <definedName name="solver_lhs1" localSheetId="2" hidden="1">'BankABC1 (2)'!$D$9</definedName>
    <definedName name="solver_lhs1" localSheetId="3" hidden="1">'BankABC1 (3)'!$D$9</definedName>
    <definedName name="solver_lhs1" localSheetId="4" hidden="1">'BankABC1 (4)'!$D$9</definedName>
    <definedName name="solver_lhs1" localSheetId="5" hidden="1">'BankABC1 (5)'!$D$9</definedName>
    <definedName name="solver_lhs1" localSheetId="0" hidden="1">'BankABC1 (6)'!$D$6</definedName>
    <definedName name="solver_lhs1" localSheetId="7" hidden="1">BankABC2!$G$8</definedName>
    <definedName name="solver_lhs1" localSheetId="6" hidden="1">'BankABC2 (2)'!$G$8</definedName>
    <definedName name="solver_lhs1" localSheetId="10" hidden="1">CoffeeBlend!$C$13</definedName>
    <definedName name="solver_lhs1" localSheetId="9" hidden="1">VegetablesDistribution!$D$20</definedName>
    <definedName name="solver_lhs10" localSheetId="10" hidden="1">CoffeeBlend!#REF!</definedName>
    <definedName name="solver_lhs2" localSheetId="8" hidden="1">Apex!$C$5</definedName>
    <definedName name="solver_lhs2" localSheetId="1" hidden="1">BankABC1!$D$4</definedName>
    <definedName name="solver_lhs2" localSheetId="2" hidden="1">'BankABC1 (2)'!$D$4</definedName>
    <definedName name="solver_lhs2" localSheetId="3" hidden="1">'BankABC1 (3)'!$D$4</definedName>
    <definedName name="solver_lhs2" localSheetId="4" hidden="1">'BankABC1 (4)'!$D$4</definedName>
    <definedName name="solver_lhs2" localSheetId="5" hidden="1">'BankABC1 (5)'!$D$4</definedName>
    <definedName name="solver_lhs2" localSheetId="0" hidden="1">'BankABC1 (6)'!$D$6</definedName>
    <definedName name="solver_lhs2" localSheetId="7" hidden="1">BankABC2!$H$8</definedName>
    <definedName name="solver_lhs2" localSheetId="6" hidden="1">'BankABC2 (2)'!$H$8:$I$8</definedName>
    <definedName name="solver_lhs2" localSheetId="10" hidden="1">CoffeeBlend!$C$17</definedName>
    <definedName name="solver_lhs2" localSheetId="9" hidden="1">VegetablesDistribution!$F$20</definedName>
    <definedName name="solver_lhs3" localSheetId="8" hidden="1">Apex!$C$7</definedName>
    <definedName name="solver_lhs3" localSheetId="1" hidden="1">BankABC1!$D$4</definedName>
    <definedName name="solver_lhs3" localSheetId="2" hidden="1">'BankABC1 (2)'!$D$4</definedName>
    <definedName name="solver_lhs3" localSheetId="3" hidden="1">'BankABC1 (3)'!$D$4</definedName>
    <definedName name="solver_lhs3" localSheetId="4" hidden="1">'BankABC1 (4)'!$D$4</definedName>
    <definedName name="solver_lhs3" localSheetId="5" hidden="1">'BankABC1 (5)'!$D$4</definedName>
    <definedName name="solver_lhs3" localSheetId="0" hidden="1">'BankABC1 (6)'!$D$9</definedName>
    <definedName name="solver_lhs3" localSheetId="7" hidden="1">BankABC2!$I$8</definedName>
    <definedName name="solver_lhs3" localSheetId="6" hidden="1">'BankABC2 (2)'!$J$8:$K$8</definedName>
    <definedName name="solver_lhs3" localSheetId="10" hidden="1">CoffeeBlend!$I$5:$I$7</definedName>
    <definedName name="solver_lhs3" localSheetId="9" hidden="1">VegetablesDistribution!$L$4:$L$18</definedName>
    <definedName name="solver_lhs4" localSheetId="8" hidden="1">Apex!$C$8</definedName>
    <definedName name="solver_lhs4" localSheetId="1" hidden="1">BankABC1!$D$5</definedName>
    <definedName name="solver_lhs4" localSheetId="2" hidden="1">'BankABC1 (2)'!$D$5</definedName>
    <definedName name="solver_lhs4" localSheetId="3" hidden="1">'BankABC1 (3)'!$D$5</definedName>
    <definedName name="solver_lhs4" localSheetId="4" hidden="1">'BankABC1 (4)'!$D$5</definedName>
    <definedName name="solver_lhs4" localSheetId="5" hidden="1">'BankABC1 (5)'!$D$5</definedName>
    <definedName name="solver_lhs4" localSheetId="0" hidden="1">'BankABC1 (6)'!$D$4</definedName>
    <definedName name="solver_lhs4" localSheetId="7" hidden="1">BankABC2!$J$8</definedName>
    <definedName name="solver_lhs4" localSheetId="6" hidden="1">'BankABC2 (2)'!$J$8:$K$8</definedName>
    <definedName name="solver_lhs4" localSheetId="10" hidden="1">CoffeeBlend!$I$9</definedName>
    <definedName name="solver_lhs4" localSheetId="9" hidden="1">VegetablesDistribution!$L$4:$L$18</definedName>
    <definedName name="solver_lhs5" localSheetId="8" hidden="1">Apex!$J$8</definedName>
    <definedName name="solver_lhs5" localSheetId="1" hidden="1">BankABC1!$E$12</definedName>
    <definedName name="solver_lhs5" localSheetId="2" hidden="1">'BankABC1 (2)'!$E$12</definedName>
    <definedName name="solver_lhs5" localSheetId="3" hidden="1">'BankABC1 (3)'!$E$12</definedName>
    <definedName name="solver_lhs5" localSheetId="4" hidden="1">'BankABC1 (4)'!$E$12</definedName>
    <definedName name="solver_lhs5" localSheetId="5" hidden="1">'BankABC1 (5)'!$E$12</definedName>
    <definedName name="solver_lhs5" localSheetId="0" hidden="1">'BankABC1 (6)'!$D$4</definedName>
    <definedName name="solver_lhs5" localSheetId="7" hidden="1">BankABC2!$K$8</definedName>
    <definedName name="solver_lhs5" localSheetId="6" hidden="1">'BankABC2 (2)'!$K$8</definedName>
    <definedName name="solver_lhs5" localSheetId="10" hidden="1">CoffeeBlend!$I$9</definedName>
    <definedName name="solver_lhs5" localSheetId="9" hidden="1">VegetablesDistribution!$N$8</definedName>
    <definedName name="solver_lhs6" localSheetId="8" hidden="1">Apex!$E$10</definedName>
    <definedName name="solver_lhs6" localSheetId="0" hidden="1">'BankABC1 (6)'!$D$5</definedName>
    <definedName name="solver_lhs6" localSheetId="10" hidden="1">CoffeeBlend!#REF!</definedName>
    <definedName name="solver_lhs7" localSheetId="0" hidden="1">'BankABC1 (6)'!$E$12</definedName>
    <definedName name="solver_lhs7" localSheetId="10" hidden="1">CoffeeBlend!#REF!</definedName>
    <definedName name="solver_lhs8" localSheetId="10" hidden="1">CoffeeBlend!#REF!</definedName>
    <definedName name="solver_lhs9" localSheetId="10" hidden="1">CoffeeBlend!#REF!</definedName>
    <definedName name="solver_lin" localSheetId="8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lin" localSheetId="5" hidden="1">1</definedName>
    <definedName name="solver_lin" localSheetId="0" hidden="1">1</definedName>
    <definedName name="solver_lin" localSheetId="7" hidden="1">1</definedName>
    <definedName name="solver_lin" localSheetId="6" hidden="1">1</definedName>
    <definedName name="solver_lin" localSheetId="10" hidden="1">1</definedName>
    <definedName name="solver_lin" localSheetId="9" hidden="1">1</definedName>
    <definedName name="solver_mda" localSheetId="9" hidden="1">4</definedName>
    <definedName name="solver_mip" localSheetId="8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0" hidden="1">2147483647</definedName>
    <definedName name="solver_mip" localSheetId="7" hidden="1">2147483647</definedName>
    <definedName name="solver_mip" localSheetId="6" hidden="1">2147483647</definedName>
    <definedName name="solver_mip" localSheetId="10" hidden="1">2147483647</definedName>
    <definedName name="solver_mip" localSheetId="9" hidden="1">2147483647</definedName>
    <definedName name="solver_mni" localSheetId="8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0" hidden="1">30</definedName>
    <definedName name="solver_mni" localSheetId="7" hidden="1">30</definedName>
    <definedName name="solver_mni" localSheetId="6" hidden="1">30</definedName>
    <definedName name="solver_mni" localSheetId="10" hidden="1">30</definedName>
    <definedName name="solver_mni" localSheetId="9" hidden="1">30</definedName>
    <definedName name="solver_mod" localSheetId="9" hidden="1">3</definedName>
    <definedName name="solver_mrt" localSheetId="8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0" hidden="1">0.075</definedName>
    <definedName name="solver_mrt" localSheetId="7" hidden="1">0.075</definedName>
    <definedName name="solver_mrt" localSheetId="6" hidden="1">0.075</definedName>
    <definedName name="solver_mrt" localSheetId="10" hidden="1">0.075</definedName>
    <definedName name="solver_mrt" localSheetId="9" hidden="1">0.075</definedName>
    <definedName name="solver_msl" localSheetId="8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0" hidden="1">2</definedName>
    <definedName name="solver_msl" localSheetId="7" hidden="1">2</definedName>
    <definedName name="solver_msl" localSheetId="6" hidden="1">2</definedName>
    <definedName name="solver_msl" localSheetId="10" hidden="1">2</definedName>
    <definedName name="solver_msl" localSheetId="9" hidden="1">2</definedName>
    <definedName name="solver_neg" localSheetId="8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0" hidden="1">1</definedName>
    <definedName name="solver_neg" localSheetId="7" hidden="1">1</definedName>
    <definedName name="solver_neg" localSheetId="6" hidden="1">1</definedName>
    <definedName name="solver_neg" localSheetId="10" hidden="1">1</definedName>
    <definedName name="solver_neg" localSheetId="9" hidden="1">1</definedName>
    <definedName name="solver_nod" localSheetId="8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0" hidden="1">2147483647</definedName>
    <definedName name="solver_nod" localSheetId="7" hidden="1">2147483647</definedName>
    <definedName name="solver_nod" localSheetId="6" hidden="1">2147483647</definedName>
    <definedName name="solver_nod" localSheetId="10" hidden="1">2147483647</definedName>
    <definedName name="solver_nod" localSheetId="9" hidden="1">2147483647</definedName>
    <definedName name="solver_ntr" localSheetId="9" hidden="1">0</definedName>
    <definedName name="solver_ntri" hidden="1">1000</definedName>
    <definedName name="solver_num" localSheetId="8" hidden="1">5</definedName>
    <definedName name="solver_num" localSheetId="1" hidden="1">5</definedName>
    <definedName name="solver_num" localSheetId="2" hidden="1">5</definedName>
    <definedName name="solver_num" localSheetId="3" hidden="1">5</definedName>
    <definedName name="solver_num" localSheetId="4" hidden="1">5</definedName>
    <definedName name="solver_num" localSheetId="5" hidden="1">5</definedName>
    <definedName name="solver_num" localSheetId="0" hidden="1">7</definedName>
    <definedName name="solver_num" localSheetId="7" hidden="1">0</definedName>
    <definedName name="solver_num" localSheetId="6" hidden="1">3</definedName>
    <definedName name="solver_num" localSheetId="10" hidden="1">0</definedName>
    <definedName name="solver_num" localSheetId="9" hidden="1">4</definedName>
    <definedName name="solver_nwt" localSheetId="8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0" hidden="1">1</definedName>
    <definedName name="solver_nwt" localSheetId="7" hidden="1">1</definedName>
    <definedName name="solver_nwt" localSheetId="6" hidden="1">1</definedName>
    <definedName name="solver_nwt" localSheetId="10" hidden="1">1</definedName>
    <definedName name="solver_nwt" localSheetId="9" hidden="1">1</definedName>
    <definedName name="solver_obc" localSheetId="9" hidden="1">0</definedName>
    <definedName name="solver_obp" localSheetId="9" hidden="1">0</definedName>
    <definedName name="solver_opt" localSheetId="8" hidden="1">Apex!$H$8</definedName>
    <definedName name="solver_opt" localSheetId="1" hidden="1">BankABC1!$E$12</definedName>
    <definedName name="solver_opt" localSheetId="2" hidden="1">'BankABC1 (2)'!$E$12</definedName>
    <definedName name="solver_opt" localSheetId="3" hidden="1">'BankABC1 (3)'!$E$12</definedName>
    <definedName name="solver_opt" localSheetId="4" hidden="1">'BankABC1 (4)'!$E$12</definedName>
    <definedName name="solver_opt" localSheetId="5" hidden="1">'BankABC1 (5)'!$E$12</definedName>
    <definedName name="solver_opt" localSheetId="0" hidden="1">'BankABC1 (6)'!$E$12</definedName>
    <definedName name="solver_opt" localSheetId="6" hidden="1">'BankABC2 (2)'!$E$9</definedName>
    <definedName name="solver_opt" localSheetId="9" hidden="1">VegetablesDistribution!$I$20</definedName>
    <definedName name="solver_opt_ob" localSheetId="9" hidden="1">1</definedName>
    <definedName name="solver_pre" localSheetId="8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0" hidden="1">0.000001</definedName>
    <definedName name="solver_pre" localSheetId="7" hidden="1">0.000001</definedName>
    <definedName name="solver_pre" localSheetId="6" hidden="1">0.000001</definedName>
    <definedName name="solver_pre" localSheetId="10" hidden="1">0.000001</definedName>
    <definedName name="solver_pre" localSheetId="9" hidden="1">0.000001</definedName>
    <definedName name="solver_psi" localSheetId="9" hidden="1">0</definedName>
    <definedName name="solver_rbv" localSheetId="8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0" hidden="1">1</definedName>
    <definedName name="solver_rbv" localSheetId="7" hidden="1">1</definedName>
    <definedName name="solver_rbv" localSheetId="6" hidden="1">1</definedName>
    <definedName name="solver_rbv" localSheetId="10" hidden="1">1</definedName>
    <definedName name="solver_rbv" localSheetId="9" hidden="1">1</definedName>
    <definedName name="solver_rdp" localSheetId="9" hidden="1">0</definedName>
    <definedName name="solver_rel1" localSheetId="8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0" hidden="1">1</definedName>
    <definedName name="solver_rel1" localSheetId="7" hidden="1">1</definedName>
    <definedName name="solver_rel1" localSheetId="6" hidden="1">1</definedName>
    <definedName name="solver_rel1" localSheetId="10" hidden="1">3</definedName>
    <definedName name="solver_rel1" localSheetId="9" hidden="1">1</definedName>
    <definedName name="solver_rel10" localSheetId="10" hidden="1">3</definedName>
    <definedName name="solver_rel2" localSheetId="8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0" hidden="1">3</definedName>
    <definedName name="solver_rel2" localSheetId="7" hidden="1">3</definedName>
    <definedName name="solver_rel2" localSheetId="6" hidden="1">3</definedName>
    <definedName name="solver_rel2" localSheetId="10" hidden="1">3</definedName>
    <definedName name="solver_rel2" localSheetId="9" hidden="1">1</definedName>
    <definedName name="solver_rel3" localSheetId="8" hidden="1">1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3" localSheetId="4" hidden="1">3</definedName>
    <definedName name="solver_rel3" localSheetId="5" hidden="1">3</definedName>
    <definedName name="solver_rel3" localSheetId="0" hidden="1">1</definedName>
    <definedName name="solver_rel3" localSheetId="7" hidden="1">3</definedName>
    <definedName name="solver_rel3" localSheetId="6" hidden="1">1</definedName>
    <definedName name="solver_rel3" localSheetId="10" hidden="1">1</definedName>
    <definedName name="solver_rel3" localSheetId="9" hidden="1">1</definedName>
    <definedName name="solver_rel4" localSheetId="8" hidden="1">1</definedName>
    <definedName name="solver_rel4" localSheetId="1" hidden="1">1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4" localSheetId="5" hidden="1">1</definedName>
    <definedName name="solver_rel4" localSheetId="0" hidden="1">3</definedName>
    <definedName name="solver_rel4" localSheetId="7" hidden="1">3</definedName>
    <definedName name="solver_rel4" localSheetId="6" hidden="1">1</definedName>
    <definedName name="solver_rel4" localSheetId="10" hidden="1">2</definedName>
    <definedName name="solver_rel4" localSheetId="9" hidden="1">3</definedName>
    <definedName name="solver_rel5" localSheetId="8" hidden="1">1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5" localSheetId="4" hidden="1">1</definedName>
    <definedName name="solver_rel5" localSheetId="5" hidden="1">1</definedName>
    <definedName name="solver_rel5" localSheetId="0" hidden="1">3</definedName>
    <definedName name="solver_rel5" localSheetId="7" hidden="1">3</definedName>
    <definedName name="solver_rel5" localSheetId="6" hidden="1">3</definedName>
    <definedName name="solver_rel5" localSheetId="10" hidden="1">2</definedName>
    <definedName name="solver_rel5" localSheetId="9" hidden="1">1</definedName>
    <definedName name="solver_rel6" localSheetId="8" hidden="1">4</definedName>
    <definedName name="solver_rel6" localSheetId="0" hidden="1">1</definedName>
    <definedName name="solver_rel6" localSheetId="10" hidden="1">2</definedName>
    <definedName name="solver_rel7" localSheetId="0" hidden="1">1</definedName>
    <definedName name="solver_rel7" localSheetId="10" hidden="1">3</definedName>
    <definedName name="solver_rel8" localSheetId="10" hidden="1">3</definedName>
    <definedName name="solver_rel9" localSheetId="10" hidden="1">3</definedName>
    <definedName name="solver_rep" localSheetId="9" hidden="1">0</definedName>
    <definedName name="solver_rhs1" localSheetId="8" hidden="1">Apex!$E$4</definedName>
    <definedName name="solver_rhs1" localSheetId="1" hidden="1">BankABC1!$D$10</definedName>
    <definedName name="solver_rhs1" localSheetId="2" hidden="1">'BankABC1 (2)'!$D$10</definedName>
    <definedName name="solver_rhs1" localSheetId="3" hidden="1">'BankABC1 (3)'!$D$10</definedName>
    <definedName name="solver_rhs1" localSheetId="4" hidden="1">'BankABC1 (4)'!$D$10</definedName>
    <definedName name="solver_rhs1" localSheetId="5" hidden="1">'BankABC1 (5)'!$D$10</definedName>
    <definedName name="solver_rhs1" localSheetId="0" hidden="1">'BankABC1 (6)'!$E$23</definedName>
    <definedName name="solver_rhs1" localSheetId="7" hidden="1">BankABC2!$G$10</definedName>
    <definedName name="solver_rhs1" localSheetId="6" hidden="1">'BankABC2 (2)'!$G$10</definedName>
    <definedName name="solver_rhs1" localSheetId="10" hidden="1">CoffeeBlend!$C$15</definedName>
    <definedName name="solver_rhs1" localSheetId="9" hidden="1">VegetablesDistribution!$D$22</definedName>
    <definedName name="solver_rhs10" localSheetId="10" hidden="1">CoffeeBlend!#REF!</definedName>
    <definedName name="solver_rhs2" localSheetId="8" hidden="1">Apex!$E$5</definedName>
    <definedName name="solver_rhs2" localSheetId="1" hidden="1">BankABC1!$E$15</definedName>
    <definedName name="solver_rhs2" localSheetId="2" hidden="1">'BankABC1 (2)'!$E$15</definedName>
    <definedName name="solver_rhs2" localSheetId="3" hidden="1">'BankABC1 (3)'!$E$15</definedName>
    <definedName name="solver_rhs2" localSheetId="4" hidden="1">'BankABC1 (4)'!$E$15</definedName>
    <definedName name="solver_rhs2" localSheetId="5" hidden="1">'BankABC1 (5)'!$E$15</definedName>
    <definedName name="solver_rhs2" localSheetId="0" hidden="1">'BankABC1 (6)'!$D$5</definedName>
    <definedName name="solver_rhs2" localSheetId="7" hidden="1">BankABC2!$H$10</definedName>
    <definedName name="solver_rhs2" localSheetId="6" hidden="1">'BankABC2 (2)'!$H$10:$I$10</definedName>
    <definedName name="solver_rhs2" localSheetId="10" hidden="1">CoffeeBlend!$C$19</definedName>
    <definedName name="solver_rhs2" localSheetId="9" hidden="1">VegetablesDistribution!$F$22</definedName>
    <definedName name="solver_rhs3" localSheetId="8" hidden="1">Apex!$E$7</definedName>
    <definedName name="solver_rhs3" localSheetId="1" hidden="1">BankABC1!$E$17</definedName>
    <definedName name="solver_rhs3" localSheetId="2" hidden="1">'BankABC1 (2)'!$E$17</definedName>
    <definedName name="solver_rhs3" localSheetId="3" hidden="1">'BankABC1 (3)'!$E$17</definedName>
    <definedName name="solver_rhs3" localSheetId="4" hidden="1">'BankABC1 (4)'!$E$17</definedName>
    <definedName name="solver_rhs3" localSheetId="5" hidden="1">'BankABC1 (5)'!$E$17</definedName>
    <definedName name="solver_rhs3" localSheetId="0" hidden="1">'BankABC1 (6)'!$D$10</definedName>
    <definedName name="solver_rhs3" localSheetId="7" hidden="1">BankABC2!$I$10</definedName>
    <definedName name="solver_rhs3" localSheetId="6" hidden="1">'BankABC2 (2)'!$J$10:$K$10</definedName>
    <definedName name="solver_rhs3" localSheetId="10" hidden="1">CoffeeBlend!$G$5:$G$7</definedName>
    <definedName name="solver_rhs3" localSheetId="9" hidden="1">VegetablesDistribution!$N$4:$N$18</definedName>
    <definedName name="solver_rhs4" localSheetId="8" hidden="1">Apex!$E$8</definedName>
    <definedName name="solver_rhs4" localSheetId="1" hidden="1">BankABC1!$E$19</definedName>
    <definedName name="solver_rhs4" localSheetId="2" hidden="1">'BankABC1 (2)'!$E$19</definedName>
    <definedName name="solver_rhs4" localSheetId="3" hidden="1">'BankABC1 (3)'!$E$19</definedName>
    <definedName name="solver_rhs4" localSheetId="4" hidden="1">'BankABC1 (4)'!$E$19</definedName>
    <definedName name="solver_rhs4" localSheetId="5" hidden="1">'BankABC1 (5)'!$E$19</definedName>
    <definedName name="solver_rhs4" localSheetId="0" hidden="1">'BankABC1 (6)'!$E$15</definedName>
    <definedName name="solver_rhs4" localSheetId="7" hidden="1">BankABC2!$J$10</definedName>
    <definedName name="solver_rhs4" localSheetId="6" hidden="1">0</definedName>
    <definedName name="solver_rhs4" localSheetId="10" hidden="1">CoffeeBlend!$I$11</definedName>
    <definedName name="solver_rhs4" localSheetId="9" hidden="1">VegetablesDistribution!$J$4:$J$18</definedName>
    <definedName name="solver_rhs5" localSheetId="8" hidden="1">Apex!$J$10</definedName>
    <definedName name="solver_rhs5" localSheetId="1" hidden="1">BankABC1!$E$21</definedName>
    <definedName name="solver_rhs5" localSheetId="2" hidden="1">'BankABC1 (2)'!$E$21</definedName>
    <definedName name="solver_rhs5" localSheetId="3" hidden="1">'BankABC1 (3)'!$E$21</definedName>
    <definedName name="solver_rhs5" localSheetId="4" hidden="1">'BankABC1 (4)'!$E$21</definedName>
    <definedName name="solver_rhs5" localSheetId="5" hidden="1">'BankABC1 (5)'!$E$21</definedName>
    <definedName name="solver_rhs5" localSheetId="0" hidden="1">'BankABC1 (6)'!$E$17</definedName>
    <definedName name="solver_rhs5" localSheetId="7" hidden="1">BankABC2!$K$10</definedName>
    <definedName name="solver_rhs5" localSheetId="6" hidden="1">'BankABC2 (2)'!$K$10</definedName>
    <definedName name="solver_rhs5" localSheetId="10" hidden="1">CoffeeBlend!$I$11</definedName>
    <definedName name="solver_rhs5" localSheetId="9" hidden="1">VegetablesDistribution!$N$8</definedName>
    <definedName name="solver_rhs6" localSheetId="8" hidden="1">integer</definedName>
    <definedName name="solver_rhs6" localSheetId="0" hidden="1">'BankABC1 (6)'!$E$19</definedName>
    <definedName name="solver_rhs6" localSheetId="10" hidden="1">CoffeeBlend!#REF!</definedName>
    <definedName name="solver_rhs7" localSheetId="0" hidden="1">'BankABC1 (6)'!$E$21</definedName>
    <definedName name="solver_rhs7" localSheetId="10" hidden="1">CoffeeBlend!#REF!*CoffeeBlend!#REF!</definedName>
    <definedName name="solver_rhs8" localSheetId="10" hidden="1">CoffeeBlend!#REF!</definedName>
    <definedName name="solver_rhs9" localSheetId="10" hidden="1">CoffeeBlend!#REF!</definedName>
    <definedName name="solver_rlx" localSheetId="8" hidden="1">2</definedName>
    <definedName name="solver_rlx" localSheetId="1" hidden="1">1</definedName>
    <definedName name="solver_rlx" localSheetId="2" hidden="1">1</definedName>
    <definedName name="solver_rlx" localSheetId="3" hidden="1">1</definedName>
    <definedName name="solver_rlx" localSheetId="4" hidden="1">1</definedName>
    <definedName name="solver_rlx" localSheetId="5" hidden="1">1</definedName>
    <definedName name="solver_rlx" localSheetId="0" hidden="1">1</definedName>
    <definedName name="solver_rlx" localSheetId="7" hidden="1">1</definedName>
    <definedName name="solver_rlx" localSheetId="6" hidden="1">2</definedName>
    <definedName name="solver_rlx" localSheetId="10" hidden="1">1</definedName>
    <definedName name="solver_rlx" localSheetId="9" hidden="1">2</definedName>
    <definedName name="solver_rsd" localSheetId="8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0" hidden="1">0</definedName>
    <definedName name="solver_rsd" localSheetId="7" hidden="1">0</definedName>
    <definedName name="solver_rsd" localSheetId="6" hidden="1">0</definedName>
    <definedName name="solver_rsd" localSheetId="10" hidden="1">0</definedName>
    <definedName name="solver_rsd" localSheetId="9" hidden="1">0</definedName>
    <definedName name="solver_rsmp" hidden="1">2</definedName>
    <definedName name="solver_rtr" localSheetId="9" hidden="1">0</definedName>
    <definedName name="solver_rxc1" localSheetId="9" hidden="1">1</definedName>
    <definedName name="solver_rxc2" localSheetId="9" hidden="1">1</definedName>
    <definedName name="solver_rxc3" localSheetId="9" hidden="1">1</definedName>
    <definedName name="solver_rxv" localSheetId="9" hidden="1">1</definedName>
    <definedName name="solver_scl" localSheetId="8" hidden="1">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0" hidden="1">2</definedName>
    <definedName name="solver_scl" localSheetId="7" hidden="1">2</definedName>
    <definedName name="solver_scl" localSheetId="6" hidden="1">1</definedName>
    <definedName name="solver_scl" localSheetId="10" hidden="1">2</definedName>
    <definedName name="solver_scl" localSheetId="9" hidden="1">2</definedName>
    <definedName name="solver_seed" hidden="1">0</definedName>
    <definedName name="solver_sel" localSheetId="9" hidden="1">1</definedName>
    <definedName name="solver_sho" localSheetId="8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0" hidden="1">2</definedName>
    <definedName name="solver_sho" localSheetId="7" hidden="1">2</definedName>
    <definedName name="solver_sho" localSheetId="6" hidden="1">2</definedName>
    <definedName name="solver_sho" localSheetId="10" hidden="1">2</definedName>
    <definedName name="solver_sho" localSheetId="9" hidden="1">2</definedName>
    <definedName name="solver_slv" localSheetId="9" hidden="1">0</definedName>
    <definedName name="solver_slvu" localSheetId="9" hidden="1">0</definedName>
    <definedName name="solver_ssz" localSheetId="8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0" hidden="1">100</definedName>
    <definedName name="solver_ssz" localSheetId="7" hidden="1">100</definedName>
    <definedName name="solver_ssz" localSheetId="6" hidden="1">100</definedName>
    <definedName name="solver_ssz" localSheetId="10" hidden="1">100</definedName>
    <definedName name="solver_ssz" localSheetId="9" hidden="1">100</definedName>
    <definedName name="solver_tim" localSheetId="8" hidden="1">2147483647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im" localSheetId="0" hidden="1">100</definedName>
    <definedName name="solver_tim" localSheetId="7" hidden="1">100</definedName>
    <definedName name="solver_tim" localSheetId="6" hidden="1">2147483647</definedName>
    <definedName name="solver_tim" localSheetId="10" hidden="1">100</definedName>
    <definedName name="solver_tim" localSheetId="9" hidden="1">100</definedName>
    <definedName name="solver_tol" localSheetId="8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0" hidden="1">0.01</definedName>
    <definedName name="solver_tol" localSheetId="7" hidden="1">0.05</definedName>
    <definedName name="solver_tol" localSheetId="6" hidden="1">0.01</definedName>
    <definedName name="solver_tol" localSheetId="10" hidden="1">0.05</definedName>
    <definedName name="solver_tol" localSheetId="9" hidden="1">0.05</definedName>
    <definedName name="solver_typ" localSheetId="8" hidden="1">1</definedName>
    <definedName name="solver_typ" localSheetId="1" hidden="1">1</definedName>
    <definedName name="solver_typ" localSheetId="2" hidden="1">3</definedName>
    <definedName name="solver_typ" localSheetId="3" hidden="1">1</definedName>
    <definedName name="solver_typ" localSheetId="4" hidden="1">1</definedName>
    <definedName name="solver_typ" localSheetId="5" hidden="1">3</definedName>
    <definedName name="solver_typ" localSheetId="0" hidden="1">1</definedName>
    <definedName name="solver_typ" localSheetId="7" hidden="1">1</definedName>
    <definedName name="solver_typ" localSheetId="6" hidden="1">1</definedName>
    <definedName name="solver_typ" localSheetId="10" hidden="1">1</definedName>
    <definedName name="solver_typ" localSheetId="9" hidden="1">1</definedName>
    <definedName name="solver_umod" localSheetId="9" hidden="1">1</definedName>
    <definedName name="solver_urs" localSheetId="9" hidden="1">0</definedName>
    <definedName name="solver_val" localSheetId="8" hidden="1">0</definedName>
    <definedName name="solver_val" localSheetId="1" hidden="1">0</definedName>
    <definedName name="solver_val" localSheetId="2" hidden="1">30</definedName>
    <definedName name="solver_val" localSheetId="3" hidden="1">0</definedName>
    <definedName name="solver_val" localSheetId="4" hidden="1">0</definedName>
    <definedName name="solver_val" localSheetId="5" hidden="1">30</definedName>
    <definedName name="solver_val" localSheetId="0" hidden="1">30</definedName>
    <definedName name="solver_val" localSheetId="7" hidden="1">0</definedName>
    <definedName name="solver_val" localSheetId="6" hidden="1">0</definedName>
    <definedName name="solver_val" localSheetId="10" hidden="1">0</definedName>
    <definedName name="solver_val" localSheetId="9" hidden="1">0</definedName>
    <definedName name="solver_var" localSheetId="9" hidden="1">" "</definedName>
    <definedName name="solver_ver" localSheetId="8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0" hidden="1">3</definedName>
    <definedName name="solver_ver" localSheetId="7" hidden="1">3</definedName>
    <definedName name="solver_ver" localSheetId="6" hidden="1">3</definedName>
    <definedName name="solver_ver" localSheetId="10" hidden="1">3</definedName>
    <definedName name="solver_ver" localSheetId="9" hidden="1">3</definedName>
    <definedName name="solver_vir" localSheetId="9" hidden="1">1</definedName>
    <definedName name="solver_vol" localSheetId="9" hidden="1">0</definedName>
    <definedName name="solver_vst" localSheetId="9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8" l="1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4" i="48"/>
  <c r="H8" i="57"/>
  <c r="I8" i="57"/>
  <c r="J8" i="57"/>
  <c r="K8" i="57"/>
  <c r="G8" i="57"/>
  <c r="E7" i="57"/>
  <c r="E6" i="57"/>
  <c r="E5" i="57"/>
  <c r="E4" i="57"/>
  <c r="H8" i="33" a="1"/>
  <c r="H8" i="33"/>
  <c r="I8" i="33" a="1"/>
  <c r="I8" i="33"/>
  <c r="J8" i="33" a="1"/>
  <c r="J8" i="33" s="1"/>
  <c r="K8" i="33" a="1"/>
  <c r="K8" i="33" s="1"/>
  <c r="G8" i="33" a="1"/>
  <c r="G8" i="33"/>
  <c r="E9" i="33"/>
  <c r="E5" i="33"/>
  <c r="E6" i="33"/>
  <c r="E7" i="33"/>
  <c r="E4" i="33"/>
  <c r="E23" i="56"/>
  <c r="E21" i="56"/>
  <c r="E19" i="56"/>
  <c r="E17" i="56"/>
  <c r="E15" i="56"/>
  <c r="D9" i="56"/>
  <c r="E7" i="56"/>
  <c r="E6" i="56"/>
  <c r="E5" i="56"/>
  <c r="E4" i="56"/>
  <c r="L20" i="48"/>
  <c r="J8" i="47"/>
  <c r="C8" i="47"/>
  <c r="C7" i="47"/>
  <c r="H5" i="47"/>
  <c r="H4" i="47"/>
  <c r="E21" i="54"/>
  <c r="E19" i="54"/>
  <c r="E17" i="54"/>
  <c r="E15" i="54"/>
  <c r="D9" i="54"/>
  <c r="E7" i="54"/>
  <c r="E6" i="54"/>
  <c r="E5" i="54"/>
  <c r="E4" i="54"/>
  <c r="E21" i="53"/>
  <c r="E19" i="53"/>
  <c r="E17" i="53"/>
  <c r="E15" i="53"/>
  <c r="D9" i="53"/>
  <c r="E7" i="53"/>
  <c r="E6" i="53"/>
  <c r="E5" i="53"/>
  <c r="E4" i="53"/>
  <c r="E21" i="51"/>
  <c r="E19" i="51"/>
  <c r="E17" i="51"/>
  <c r="E15" i="51"/>
  <c r="D9" i="51"/>
  <c r="E7" i="51"/>
  <c r="E6" i="51"/>
  <c r="E5" i="51"/>
  <c r="E4" i="51"/>
  <c r="E21" i="52"/>
  <c r="E19" i="52"/>
  <c r="E17" i="52"/>
  <c r="E15" i="52"/>
  <c r="E12" i="52"/>
  <c r="D9" i="52"/>
  <c r="E7" i="52"/>
  <c r="E6" i="52"/>
  <c r="E5" i="52"/>
  <c r="E4" i="52"/>
  <c r="E21" i="42"/>
  <c r="E19" i="42"/>
  <c r="E17" i="42"/>
  <c r="E15" i="42"/>
  <c r="E12" i="42"/>
  <c r="D9" i="42"/>
  <c r="E7" i="42"/>
  <c r="E6" i="42"/>
  <c r="E5" i="42"/>
  <c r="E4" i="42"/>
  <c r="D20" i="48" l="1"/>
  <c r="H8" i="47"/>
  <c r="E9" i="57"/>
  <c r="E12" i="56"/>
  <c r="E12" i="53"/>
  <c r="E12" i="54"/>
  <c r="E12" i="51"/>
  <c r="F20" i="48" l="1"/>
  <c r="I4" i="48"/>
  <c r="I5" i="48"/>
  <c r="I9" i="48"/>
  <c r="I7" i="48"/>
  <c r="I6" i="48"/>
  <c r="I15" i="48"/>
  <c r="I17" i="48"/>
  <c r="I8" i="48"/>
  <c r="I14" i="48"/>
  <c r="I11" i="48"/>
  <c r="I18" i="48"/>
  <c r="I16" i="48"/>
  <c r="I12" i="48"/>
  <c r="H20" i="48"/>
  <c r="I10" i="48"/>
  <c r="I13" i="48"/>
  <c r="I20" i="4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<sst xmlns="http://schemas.openxmlformats.org/spreadsheetml/2006/main" count="276" uniqueCount="112">
  <si>
    <t>Bank ABC Financial Problem</t>
  </si>
  <si>
    <t>Loan Type</t>
  </si>
  <si>
    <t>Interest</t>
  </si>
  <si>
    <t>Amount Loaned</t>
  </si>
  <si>
    <t>Partial interests</t>
  </si>
  <si>
    <t>First mortgage</t>
  </si>
  <si>
    <t>Second mortgage</t>
  </si>
  <si>
    <t>Home improvement</t>
  </si>
  <si>
    <t>Personal overdraft</t>
  </si>
  <si>
    <t>Total Loaned</t>
  </si>
  <si>
    <t xml:space="preserve">Budget </t>
  </si>
  <si>
    <t>Interest income</t>
  </si>
  <si>
    <t>First mortgage at least 55% of all mortgages</t>
  </si>
  <si>
    <t>First mortgage at least 25% of all loans</t>
  </si>
  <si>
    <t>Second mortgage at most 25% of all loans</t>
  </si>
  <si>
    <t>Overall interest income at most 15% of all loans</t>
  </si>
  <si>
    <t>home improvement loans&lt;=Personal overdraft</t>
  </si>
  <si>
    <t>Constraint 1</t>
  </si>
  <si>
    <t>Constraint 2</t>
  </si>
  <si>
    <t>Constraint 3</t>
  </si>
  <si>
    <t>Constraint 4</t>
  </si>
  <si>
    <t>Constraint 5</t>
  </si>
  <si>
    <t>Interest Income</t>
  </si>
  <si>
    <t>&lt;=</t>
  </si>
  <si>
    <t>&gt;=</t>
  </si>
  <si>
    <t>APEX Company Production Problem</t>
  </si>
  <si>
    <t>Produced</t>
  </si>
  <si>
    <t>Maximum</t>
  </si>
  <si>
    <t>Profit per unit</t>
  </si>
  <si>
    <t>Profit per product</t>
  </si>
  <si>
    <t>Required work-hours</t>
  </si>
  <si>
    <t>27-inch Sets (X1)</t>
  </si>
  <si>
    <t>20-inch Sets (X2)</t>
  </si>
  <si>
    <t>Difference (X1-X2)</t>
  </si>
  <si>
    <t>Total Profit</t>
  </si>
  <si>
    <t>Total Hours Used</t>
  </si>
  <si>
    <t>Difference (X2-X1)</t>
  </si>
  <si>
    <t>Maximum work-hours</t>
  </si>
  <si>
    <t>VEGETABLES DISTRIBUTION Problem</t>
  </si>
  <si>
    <t>Whipped</t>
  </si>
  <si>
    <t>Potatoes</t>
  </si>
  <si>
    <t>WP</t>
  </si>
  <si>
    <t>Creamed</t>
  </si>
  <si>
    <t>Corn</t>
  </si>
  <si>
    <t>CC</t>
  </si>
  <si>
    <t>Vegetable</t>
  </si>
  <si>
    <t>Space/Box</t>
  </si>
  <si>
    <t>Storage/Vegetable</t>
  </si>
  <si>
    <t>Cost/Box</t>
  </si>
  <si>
    <t>Cost/Vegetable</t>
  </si>
  <si>
    <t>Sale/Vegetable</t>
  </si>
  <si>
    <t>Profit/Vegetable</t>
  </si>
  <si>
    <t>Min Demand</t>
  </si>
  <si>
    <t>Boxes Purchased</t>
  </si>
  <si>
    <t>Max Demand</t>
  </si>
  <si>
    <t xml:space="preserve"> </t>
  </si>
  <si>
    <t>Green</t>
  </si>
  <si>
    <t>Peas</t>
  </si>
  <si>
    <t>GP</t>
  </si>
  <si>
    <t>Whipped potatos</t>
  </si>
  <si>
    <t>Spinach</t>
  </si>
  <si>
    <t>SP</t>
  </si>
  <si>
    <t>Creamed corn</t>
  </si>
  <si>
    <t>Lima</t>
  </si>
  <si>
    <t>Beans</t>
  </si>
  <si>
    <t>LB</t>
  </si>
  <si>
    <t>Blackeyed beans</t>
  </si>
  <si>
    <t>Brussels</t>
  </si>
  <si>
    <t>Sprouts</t>
  </si>
  <si>
    <t>BS</t>
  </si>
  <si>
    <t>Artichokes</t>
  </si>
  <si>
    <t xml:space="preserve">Green   </t>
  </si>
  <si>
    <t>GB</t>
  </si>
  <si>
    <t>Carrots</t>
  </si>
  <si>
    <t>Squash</t>
  </si>
  <si>
    <t>SQ</t>
  </si>
  <si>
    <t>Succotash</t>
  </si>
  <si>
    <t>Broccoli</t>
  </si>
  <si>
    <t>BR</t>
  </si>
  <si>
    <t>Okra</t>
  </si>
  <si>
    <t>Cauliflower</t>
  </si>
  <si>
    <t>Green peas</t>
  </si>
  <si>
    <t>Lima beans</t>
  </si>
  <si>
    <t>Brussel sprouts</t>
  </si>
  <si>
    <t>Green beans</t>
  </si>
  <si>
    <t>Total Sales</t>
  </si>
  <si>
    <t>Total Boxes</t>
  </si>
  <si>
    <t>Warehouse Capacity</t>
  </si>
  <si>
    <t>Purchase Budget</t>
  </si>
  <si>
    <t>COFFEE BLEND Problem</t>
  </si>
  <si>
    <t>Original data, no need to implement the constraint "A blend has at least 2 different coffee beans in the mix" because at least two types of beans are needed for the required production.</t>
  </si>
  <si>
    <t>Bean Type</t>
  </si>
  <si>
    <t>Aroma Rating</t>
  </si>
  <si>
    <t>Strength Rating</t>
  </si>
  <si>
    <t>Cost/Kg</t>
  </si>
  <si>
    <t>Cost/Ton</t>
  </si>
  <si>
    <t>Tons Available</t>
  </si>
  <si>
    <t>Amount Blended</t>
  </si>
  <si>
    <t>Brazilian</t>
  </si>
  <si>
    <t>Colombian</t>
  </si>
  <si>
    <t>Peruvian</t>
  </si>
  <si>
    <t>Blend</t>
  </si>
  <si>
    <t>Total Cost</t>
  </si>
  <si>
    <t>=</t>
  </si>
  <si>
    <t>Required</t>
  </si>
  <si>
    <t xml:space="preserve">75B+60C+85P  </t>
  </si>
  <si>
    <t xml:space="preserve">Aroma Rating Constraint in Linear Form </t>
  </si>
  <si>
    <t xml:space="preserve">78 x (B+C+P)  </t>
  </si>
  <si>
    <t xml:space="preserve">15B+20C+18P  </t>
  </si>
  <si>
    <t xml:space="preserve">Strength Rating Constraint in Linear Form </t>
  </si>
  <si>
    <t xml:space="preserve">16 x (B+C+P)  </t>
  </si>
  <si>
    <t>Retail Price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</si>
</sst>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&quot;$&quot;#,##0.00_);[Red]\(&quot;$&quot;#,##0.00\)"/>
    <numFmt numFmtId="178" formatCode="0.0"/>
  </numFmts>
  <fonts count="10">
    <font>
      <sz val="10"/>
      <name val="Arial"/>
      <charset val="134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0"/>
      <name val="Geneva"/>
      <family val="1"/>
    </font>
    <font>
      <sz val="11"/>
      <color theme="1"/>
      <name val="宋体"/>
      <family val="3"/>
      <charset val="134"/>
      <scheme val="minor"/>
    </font>
    <font>
      <sz val="10"/>
      <name val="MS Sans Serif"/>
      <family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/>
    <xf numFmtId="0" fontId="3" fillId="0" borderId="0"/>
    <xf numFmtId="0" fontId="7" fillId="0" borderId="0">
      <alignment vertical="center"/>
    </xf>
    <xf numFmtId="0" fontId="3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 vertical="center"/>
    </xf>
    <xf numFmtId="0" fontId="0" fillId="2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3" fillId="0" borderId="0" xfId="3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/>
    </xf>
    <xf numFmtId="0" fontId="4" fillId="0" borderId="0" xfId="3" applyFont="1" applyAlignment="1">
      <alignment horizontal="left"/>
    </xf>
    <xf numFmtId="0" fontId="2" fillId="0" borderId="0" xfId="3" applyFont="1" applyAlignment="1">
      <alignment horizontal="center"/>
    </xf>
    <xf numFmtId="178" fontId="3" fillId="5" borderId="0" xfId="3" applyNumberFormat="1" applyFont="1" applyFill="1" applyAlignment="1">
      <alignment horizontal="center"/>
    </xf>
    <xf numFmtId="3" fontId="3" fillId="0" borderId="0" xfId="3" applyNumberFormat="1" applyFont="1" applyAlignment="1">
      <alignment horizontal="center"/>
    </xf>
    <xf numFmtId="178" fontId="3" fillId="4" borderId="0" xfId="3" applyNumberFormat="1" applyFont="1" applyFill="1" applyAlignment="1">
      <alignment horizontal="center"/>
    </xf>
    <xf numFmtId="178" fontId="3" fillId="0" borderId="0" xfId="3" applyNumberFormat="1" applyFont="1" applyAlignment="1">
      <alignment horizontal="center"/>
    </xf>
    <xf numFmtId="178" fontId="2" fillId="3" borderId="0" xfId="3" applyNumberFormat="1" applyFont="1" applyFill="1" applyAlignment="1">
      <alignment horizontal="center"/>
    </xf>
    <xf numFmtId="0" fontId="5" fillId="0" borderId="0" xfId="3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4"/>
    <xf numFmtId="0" fontId="1" fillId="0" borderId="0" xfId="4" applyFont="1"/>
    <xf numFmtId="0" fontId="2" fillId="0" borderId="0" xfId="4" applyFont="1" applyAlignment="1">
      <alignment horizontal="center"/>
    </xf>
    <xf numFmtId="0" fontId="3" fillId="0" borderId="0" xfId="4" applyAlignment="1">
      <alignment horizontal="center"/>
    </xf>
    <xf numFmtId="0" fontId="3" fillId="4" borderId="0" xfId="4" applyFill="1" applyAlignment="1">
      <alignment horizontal="center"/>
    </xf>
    <xf numFmtId="0" fontId="3" fillId="5" borderId="0" xfId="4" applyFill="1" applyAlignment="1">
      <alignment horizontal="center"/>
    </xf>
    <xf numFmtId="0" fontId="2" fillId="0" borderId="0" xfId="4" applyFont="1" applyAlignment="1">
      <alignment horizontal="right"/>
    </xf>
    <xf numFmtId="0" fontId="3" fillId="3" borderId="0" xfId="4" applyFill="1" applyAlignment="1">
      <alignment horizontal="center"/>
    </xf>
    <xf numFmtId="0" fontId="2" fillId="0" borderId="0" xfId="4" applyFont="1"/>
    <xf numFmtId="0" fontId="3" fillId="0" borderId="0" xfId="3" quotePrefix="1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8">
    <cellStyle name="Comma 2" xfId="1" xr:uid="{00000000-0005-0000-0000-000031000000}"/>
    <cellStyle name="Currency 2" xfId="2" xr:uid="{00000000-0005-0000-0000-000032000000}"/>
    <cellStyle name="Normal 2" xfId="3" xr:uid="{00000000-0005-0000-0000-000033000000}"/>
    <cellStyle name="Normal 2 2" xfId="4" xr:uid="{00000000-0005-0000-0000-000034000000}"/>
    <cellStyle name="Normal 3" xfId="5" xr:uid="{00000000-0005-0000-0000-000035000000}"/>
    <cellStyle name="Normal 4" xfId="6" xr:uid="{00000000-0005-0000-0000-000036000000}"/>
    <cellStyle name="Normal 5" xfId="7" xr:uid="{00000000-0005-0000-0000-000037000000}"/>
    <cellStyle name="常规" xfId="0" builtinId="0"/>
  </cellStyles>
  <dxfs count="0"/>
  <tableStyles count="0" defaultTableStyle="TableStyleMedium9" defaultPivotStyle="PivotStyleLight16"/>
  <colors>
    <mruColors>
      <color rgb="FF99FFCC"/>
      <color rgb="FFCCFFCC"/>
      <color rgb="FFFFFFCC"/>
      <color rgb="FF9999FF"/>
      <color rgb="FFFFFF99"/>
      <color rgb="FFFFCC99"/>
      <color rgb="FFCC33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26C8-90FB-43E8-B88D-62CA076F6845}">
  <dimension ref="A1:K23"/>
  <sheetViews>
    <sheetView workbookViewId="0">
      <selection activeCell="J18" sqref="J18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62.499999999999993</v>
      </c>
      <c r="E4" s="43">
        <f t="shared" ref="E4:E7" si="0">D4*C4</f>
        <v>8.75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46.875</v>
      </c>
      <c r="E5" s="43">
        <f t="shared" si="0"/>
        <v>9.375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46.875000000000014</v>
      </c>
      <c r="E6" s="43">
        <f t="shared" si="0"/>
        <v>9.3750000000000036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93.750000000000099</v>
      </c>
      <c r="E7" s="43">
        <f t="shared" si="0"/>
        <v>9.3750000000000107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250.00000000000011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36.875000000000014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60.156250000000007</v>
      </c>
      <c r="F15" s="41"/>
    </row>
    <row r="17" spans="2:5" ht="13">
      <c r="B17" s="46" t="s">
        <v>13</v>
      </c>
      <c r="E17" s="43">
        <f>0.25*SUM(D4:D7)</f>
        <v>62.500000000000028</v>
      </c>
    </row>
    <row r="19" spans="2:5" ht="13">
      <c r="B19" s="46" t="s">
        <v>14</v>
      </c>
      <c r="E19" s="43">
        <f>0.25*SUM(D4:D7)</f>
        <v>62.500000000000028</v>
      </c>
    </row>
    <row r="21" spans="2:5" ht="13">
      <c r="B21" s="46" t="s">
        <v>15</v>
      </c>
      <c r="E21" s="43">
        <f>0.15*SUM(D4:D7)</f>
        <v>37.500000000000014</v>
      </c>
    </row>
    <row r="23" spans="2:5" ht="13">
      <c r="B23" s="46" t="s">
        <v>16</v>
      </c>
      <c r="E23" s="38">
        <f>0.5*(D7)</f>
        <v>46.87500000000005</v>
      </c>
    </row>
  </sheetData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E12" sqref="E12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62.5</v>
      </c>
      <c r="E4" s="43">
        <f>D4*C4</f>
        <v>8.75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51.136363636363598</v>
      </c>
      <c r="E5" s="43">
        <f>D5*C5</f>
        <v>10.2272727272727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48.863636363636402</v>
      </c>
      <c r="E6" s="43">
        <f>D6*C6</f>
        <v>9.7727272727272698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87.5</v>
      </c>
      <c r="E7" s="43">
        <f>D7*C7</f>
        <v>8.75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250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37.5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62.5</v>
      </c>
      <c r="F15" s="41"/>
    </row>
    <row r="17" spans="2:5" ht="13">
      <c r="B17" s="46" t="s">
        <v>13</v>
      </c>
      <c r="E17" s="43">
        <f>0.25*SUM(D4:D7)</f>
        <v>62.5</v>
      </c>
    </row>
    <row r="19" spans="2:5" ht="13">
      <c r="B19" s="46" t="s">
        <v>14</v>
      </c>
      <c r="E19" s="43">
        <f>0.25*SUM(D4:D7)</f>
        <v>62.5</v>
      </c>
    </row>
    <row r="21" spans="2:5" ht="13">
      <c r="B21" s="46" t="s">
        <v>15</v>
      </c>
      <c r="E21" s="43">
        <f>0.15*SUM(D4:D7)</f>
        <v>37.5</v>
      </c>
    </row>
    <row r="23" spans="2:5" ht="13">
      <c r="B23" s="46"/>
    </row>
  </sheetData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E7" sqref="E7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50</v>
      </c>
      <c r="E4" s="43">
        <f>D4*C4</f>
        <v>7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40.909090909090899</v>
      </c>
      <c r="E5" s="43">
        <f>D5*C5</f>
        <v>8.1818181818181799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39.090909090909101</v>
      </c>
      <c r="E6" s="43">
        <f>D6*C6</f>
        <v>7.8181818181818201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70</v>
      </c>
      <c r="E7" s="43">
        <f>D7*C7</f>
        <v>7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200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30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50</v>
      </c>
      <c r="F15" s="41"/>
    </row>
    <row r="17" spans="2:5" ht="13">
      <c r="B17" s="46" t="s">
        <v>13</v>
      </c>
      <c r="E17" s="43">
        <f>0.25*SUM(D4:D7)</f>
        <v>50</v>
      </c>
    </row>
    <row r="19" spans="2:5" ht="13">
      <c r="B19" s="46" t="s">
        <v>14</v>
      </c>
      <c r="E19" s="43">
        <f>0.25*SUM(D4:D7)</f>
        <v>50</v>
      </c>
    </row>
    <row r="21" spans="2:5" ht="13">
      <c r="B21" s="46" t="s">
        <v>15</v>
      </c>
      <c r="E21" s="43">
        <f>0.15*SUM(D4:D7)</f>
        <v>30</v>
      </c>
    </row>
    <row r="23" spans="2:5" ht="13">
      <c r="B23" s="46"/>
    </row>
  </sheetData>
  <phoneticPr fontId="9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E7" sqref="E7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62.5</v>
      </c>
      <c r="E4" s="43">
        <f>D4*C4</f>
        <v>8.75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51.136363636363633</v>
      </c>
      <c r="E5" s="43">
        <f>D5*C5</f>
        <v>10.227272727272727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48.863636363636367</v>
      </c>
      <c r="E6" s="43">
        <f>D6*C6</f>
        <v>9.7727272727272734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87.5</v>
      </c>
      <c r="E7" s="43">
        <f>D7*C7</f>
        <v>8.75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250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37.5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62.5</v>
      </c>
      <c r="F15" s="41"/>
    </row>
    <row r="17" spans="2:5" ht="13">
      <c r="B17" s="46" t="s">
        <v>13</v>
      </c>
      <c r="E17" s="43">
        <f>0.25*SUM(D4:D7)</f>
        <v>62.5</v>
      </c>
    </row>
    <row r="19" spans="2:5" ht="13">
      <c r="B19" s="46" t="s">
        <v>14</v>
      </c>
      <c r="E19" s="43">
        <f>0.25*SUM(D4:D7)</f>
        <v>62.5</v>
      </c>
    </row>
    <row r="21" spans="2:5" ht="13">
      <c r="B21" s="46" t="s">
        <v>15</v>
      </c>
      <c r="E21" s="43">
        <f>0.15*SUM(D4:D7)</f>
        <v>37.5</v>
      </c>
    </row>
    <row r="23" spans="2:5" ht="13">
      <c r="B23" s="46" t="s">
        <v>16</v>
      </c>
    </row>
  </sheetData>
  <phoneticPr fontId="9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selection activeCell="D4" sqref="D4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62.5</v>
      </c>
      <c r="E4" s="43">
        <f t="shared" ref="E4:E7" si="0">D4*C4</f>
        <v>8.75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51.136363636363633</v>
      </c>
      <c r="E5" s="43">
        <f t="shared" si="0"/>
        <v>10.227272727272727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48.863636363636367</v>
      </c>
      <c r="E6" s="43">
        <f t="shared" si="0"/>
        <v>9.7727272727272734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87.5</v>
      </c>
      <c r="E7" s="43">
        <f t="shared" si="0"/>
        <v>8.75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250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37.5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62.5</v>
      </c>
      <c r="F15" s="41"/>
    </row>
    <row r="17" spans="2:5" ht="13">
      <c r="B17" s="46" t="s">
        <v>13</v>
      </c>
      <c r="E17" s="43">
        <f>0.25*SUM(D4:D7)</f>
        <v>62.5</v>
      </c>
    </row>
    <row r="19" spans="2:5" ht="13">
      <c r="B19" s="46" t="s">
        <v>14</v>
      </c>
      <c r="E19" s="43">
        <f>0.25*SUM(D4:D7)</f>
        <v>62.5</v>
      </c>
    </row>
    <row r="21" spans="2:5" ht="13">
      <c r="B21" s="46" t="s">
        <v>15</v>
      </c>
      <c r="E21" s="43">
        <f>0.15*SUM(D4:D7)</f>
        <v>37.5</v>
      </c>
    </row>
    <row r="23" spans="2:5" ht="13">
      <c r="B23" s="46" t="s">
        <v>16</v>
      </c>
    </row>
  </sheetData>
  <phoneticPr fontId="9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workbookViewId="0">
      <selection activeCell="E7" sqref="E7"/>
    </sheetView>
  </sheetViews>
  <sheetFormatPr defaultColWidth="9.08984375" defaultRowHeight="12.5"/>
  <cols>
    <col min="1" max="1" width="9.08984375" style="38"/>
    <col min="2" max="2" width="16.7265625" style="38" customWidth="1"/>
    <col min="3" max="3" width="12.7265625" style="38" customWidth="1"/>
    <col min="4" max="4" width="16.6328125" style="38" customWidth="1"/>
    <col min="5" max="5" width="15" style="38" customWidth="1"/>
    <col min="6" max="6" width="6.26953125" style="38" customWidth="1"/>
    <col min="7" max="7" width="12.36328125" style="38" customWidth="1"/>
    <col min="8" max="8" width="12.26953125" style="38" customWidth="1"/>
    <col min="9" max="10" width="12.08984375" style="38" customWidth="1"/>
    <col min="11" max="11" width="12.26953125" style="38" customWidth="1"/>
    <col min="12" max="16384" width="9.08984375" style="38"/>
  </cols>
  <sheetData>
    <row r="1" spans="1:11" ht="18">
      <c r="A1" s="39" t="s">
        <v>0</v>
      </c>
    </row>
    <row r="3" spans="1:11" ht="13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1:11">
      <c r="B4" s="38" t="s">
        <v>5</v>
      </c>
      <c r="C4" s="41">
        <v>0.14000000000000001</v>
      </c>
      <c r="D4" s="42">
        <v>50</v>
      </c>
      <c r="E4" s="43">
        <f t="shared" ref="E4:E7" si="0">D4*C4</f>
        <v>7.0000000000000009</v>
      </c>
      <c r="G4" s="41"/>
      <c r="H4" s="41"/>
      <c r="I4" s="41"/>
      <c r="J4" s="41"/>
      <c r="K4" s="41"/>
    </row>
    <row r="5" spans="1:11">
      <c r="B5" s="38" t="s">
        <v>6</v>
      </c>
      <c r="C5" s="41">
        <v>0.2</v>
      </c>
      <c r="D5" s="42">
        <v>40.909090909090907</v>
      </c>
      <c r="E5" s="43">
        <f t="shared" si="0"/>
        <v>8.1818181818181817</v>
      </c>
      <c r="G5" s="41"/>
      <c r="H5" s="41"/>
      <c r="I5" s="41"/>
      <c r="J5" s="41"/>
      <c r="K5" s="41"/>
    </row>
    <row r="6" spans="1:11">
      <c r="B6" s="38" t="s">
        <v>7</v>
      </c>
      <c r="C6" s="41">
        <v>0.2</v>
      </c>
      <c r="D6" s="42">
        <v>39.090909090909093</v>
      </c>
      <c r="E6" s="43">
        <f t="shared" si="0"/>
        <v>7.8181818181818192</v>
      </c>
      <c r="G6" s="41"/>
      <c r="H6" s="41"/>
      <c r="I6" s="41"/>
      <c r="J6" s="41"/>
      <c r="K6" s="41"/>
    </row>
    <row r="7" spans="1:11">
      <c r="B7" s="38" t="s">
        <v>8</v>
      </c>
      <c r="C7" s="41">
        <v>0.1</v>
      </c>
      <c r="D7" s="42">
        <v>70</v>
      </c>
      <c r="E7" s="43">
        <f t="shared" si="0"/>
        <v>7</v>
      </c>
      <c r="G7" s="41"/>
      <c r="H7" s="41"/>
      <c r="I7" s="41"/>
      <c r="J7" s="41"/>
      <c r="K7" s="41"/>
    </row>
    <row r="8" spans="1:11">
      <c r="C8" s="41"/>
      <c r="G8" s="41"/>
      <c r="H8" s="41"/>
      <c r="I8" s="41"/>
      <c r="J8" s="41"/>
      <c r="K8" s="41"/>
    </row>
    <row r="9" spans="1:11" ht="13">
      <c r="C9" s="44" t="s">
        <v>9</v>
      </c>
      <c r="D9" s="43">
        <f>SUM(D4:D7)</f>
        <v>200</v>
      </c>
      <c r="G9" s="41"/>
      <c r="H9" s="41"/>
      <c r="I9" s="41"/>
      <c r="J9" s="41"/>
      <c r="K9" s="41"/>
    </row>
    <row r="10" spans="1:11" ht="13">
      <c r="C10" s="44" t="s">
        <v>10</v>
      </c>
      <c r="D10" s="41">
        <v>250</v>
      </c>
    </row>
    <row r="11" spans="1:11" ht="13">
      <c r="C11" s="44"/>
    </row>
    <row r="12" spans="1:11" ht="13">
      <c r="D12" s="40" t="s">
        <v>11</v>
      </c>
      <c r="E12" s="45">
        <f>SUM(E4:E7)</f>
        <v>30.000000000000004</v>
      </c>
      <c r="G12" s="41"/>
      <c r="H12" s="41"/>
      <c r="I12" s="41"/>
      <c r="J12" s="41"/>
      <c r="K12" s="41"/>
    </row>
    <row r="13" spans="1:11">
      <c r="G13" s="41"/>
      <c r="H13" s="41"/>
      <c r="I13" s="41"/>
      <c r="J13" s="41"/>
      <c r="K13" s="41"/>
    </row>
    <row r="15" spans="1:11" ht="13">
      <c r="B15" s="46" t="s">
        <v>12</v>
      </c>
      <c r="E15" s="43">
        <f>0.55*(D4+D5)</f>
        <v>50</v>
      </c>
      <c r="F15" s="41"/>
    </row>
    <row r="17" spans="2:5" ht="13">
      <c r="B17" s="46" t="s">
        <v>13</v>
      </c>
      <c r="E17" s="43">
        <f>0.25*SUM(D4:D7)</f>
        <v>50</v>
      </c>
    </row>
    <row r="19" spans="2:5" ht="13">
      <c r="B19" s="46" t="s">
        <v>14</v>
      </c>
      <c r="E19" s="43">
        <f>0.25*SUM(D4:D7)</f>
        <v>50</v>
      </c>
    </row>
    <row r="21" spans="2:5" ht="13">
      <c r="B21" s="46" t="s">
        <v>15</v>
      </c>
      <c r="E21" s="43">
        <f>0.15*SUM(D4:D7)</f>
        <v>30</v>
      </c>
    </row>
    <row r="23" spans="2:5" ht="13">
      <c r="B23" s="46" t="s">
        <v>16</v>
      </c>
    </row>
  </sheetData>
  <phoneticPr fontId="9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5D4E-BEE5-46A7-9ED0-30E98D5BA85D}">
  <dimension ref="A1:K10"/>
  <sheetViews>
    <sheetView workbookViewId="0">
      <selection activeCell="J17" sqref="J17"/>
    </sheetView>
  </sheetViews>
  <sheetFormatPr defaultColWidth="9" defaultRowHeight="12.5"/>
  <cols>
    <col min="2" max="2" width="16.7265625" customWidth="1"/>
    <col min="3" max="3" width="10.6328125" customWidth="1"/>
    <col min="4" max="4" width="15.7265625" customWidth="1"/>
    <col min="5" max="5" width="15" customWidth="1"/>
    <col min="7" max="7" width="12.36328125" customWidth="1"/>
    <col min="8" max="8" width="12.26953125" customWidth="1"/>
    <col min="9" max="10" width="12.08984375" customWidth="1"/>
    <col min="11" max="11" width="12.26953125" customWidth="1"/>
  </cols>
  <sheetData>
    <row r="1" spans="1:11" ht="18">
      <c r="A1" s="1" t="s">
        <v>0</v>
      </c>
    </row>
    <row r="3" spans="1:11" ht="13">
      <c r="B3" s="10" t="s">
        <v>1</v>
      </c>
      <c r="C3" s="10" t="s">
        <v>2</v>
      </c>
      <c r="D3" s="10" t="s">
        <v>3</v>
      </c>
      <c r="E3" s="10" t="s">
        <v>4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</row>
    <row r="4" spans="1:11">
      <c r="B4" t="s">
        <v>5</v>
      </c>
      <c r="C4" s="6">
        <v>0.14000000000000001</v>
      </c>
      <c r="D4" s="36">
        <v>62.5</v>
      </c>
      <c r="E4" s="34">
        <f>D4*C4</f>
        <v>8.75</v>
      </c>
      <c r="G4" s="6">
        <v>1</v>
      </c>
      <c r="H4" s="6">
        <v>0.45</v>
      </c>
      <c r="I4" s="6">
        <v>0.75</v>
      </c>
      <c r="J4" s="6">
        <v>-0.25</v>
      </c>
      <c r="K4" s="6">
        <v>-0.01</v>
      </c>
    </row>
    <row r="5" spans="1:11">
      <c r="B5" t="s">
        <v>6</v>
      </c>
      <c r="C5" s="6">
        <v>0.2</v>
      </c>
      <c r="D5" s="36">
        <v>51.136363636363633</v>
      </c>
      <c r="E5" s="34">
        <f t="shared" ref="E5:E7" si="0">D5*C5</f>
        <v>10.227272727272727</v>
      </c>
      <c r="G5" s="6">
        <v>1</v>
      </c>
      <c r="H5" s="6">
        <v>-0.55000000000000004</v>
      </c>
      <c r="I5" s="6">
        <v>-0.25</v>
      </c>
      <c r="J5" s="6">
        <v>0.75</v>
      </c>
      <c r="K5" s="6">
        <v>0.05</v>
      </c>
    </row>
    <row r="6" spans="1:11">
      <c r="B6" t="s">
        <v>7</v>
      </c>
      <c r="C6" s="6">
        <v>0.2</v>
      </c>
      <c r="D6" s="36">
        <v>48.863636363636374</v>
      </c>
      <c r="E6" s="34">
        <f t="shared" si="0"/>
        <v>9.7727272727272751</v>
      </c>
      <c r="G6" s="6">
        <v>1</v>
      </c>
      <c r="H6" s="6">
        <v>0</v>
      </c>
      <c r="I6" s="6">
        <v>-0.25</v>
      </c>
      <c r="J6" s="6">
        <v>-0.25</v>
      </c>
      <c r="K6" s="6">
        <v>0.05</v>
      </c>
    </row>
    <row r="7" spans="1:11">
      <c r="B7" t="s">
        <v>8</v>
      </c>
      <c r="C7" s="6">
        <v>0.1</v>
      </c>
      <c r="D7" s="36">
        <v>87.5</v>
      </c>
      <c r="E7" s="34">
        <f t="shared" si="0"/>
        <v>8.75</v>
      </c>
      <c r="G7" s="6">
        <v>1</v>
      </c>
      <c r="H7" s="6">
        <v>0</v>
      </c>
      <c r="I7" s="6">
        <v>-0.25</v>
      </c>
      <c r="J7" s="6">
        <v>-0.25</v>
      </c>
      <c r="K7" s="6">
        <v>-0.05</v>
      </c>
    </row>
    <row r="8" spans="1:11">
      <c r="G8" s="34">
        <f>SUMPRODUCT($D4:$D7,G4:G7)</f>
        <v>250</v>
      </c>
      <c r="H8" s="34">
        <f t="shared" ref="H8:K8" si="1">SUMPRODUCT($D4:$D7,H4:H7)</f>
        <v>0</v>
      </c>
      <c r="I8" s="34">
        <f t="shared" si="1"/>
        <v>0</v>
      </c>
      <c r="J8" s="34">
        <f t="shared" si="1"/>
        <v>-11.363636363636367</v>
      </c>
      <c r="K8" s="34">
        <f t="shared" si="1"/>
        <v>0</v>
      </c>
    </row>
    <row r="9" spans="1:11" ht="13">
      <c r="D9" s="10" t="s">
        <v>22</v>
      </c>
      <c r="E9" s="37">
        <f>SUM(E4:E7)</f>
        <v>37.5</v>
      </c>
      <c r="G9" s="6" t="s">
        <v>23</v>
      </c>
      <c r="H9" s="6" t="s">
        <v>24</v>
      </c>
      <c r="I9" s="6" t="s">
        <v>24</v>
      </c>
      <c r="J9" s="5" t="s">
        <v>23</v>
      </c>
      <c r="K9" s="5" t="s">
        <v>23</v>
      </c>
    </row>
    <row r="10" spans="1:11">
      <c r="G10" s="6">
        <v>250</v>
      </c>
      <c r="H10" s="6">
        <v>0</v>
      </c>
      <c r="I10" s="6">
        <v>0</v>
      </c>
      <c r="J10" s="6">
        <v>0</v>
      </c>
      <c r="K10" s="6">
        <v>0</v>
      </c>
    </row>
  </sheetData>
  <phoneticPr fontId="9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workbookViewId="0">
      <selection activeCell="G8" sqref="G8"/>
    </sheetView>
  </sheetViews>
  <sheetFormatPr defaultColWidth="9" defaultRowHeight="12.5"/>
  <cols>
    <col min="2" max="2" width="16.7265625" customWidth="1"/>
    <col min="3" max="3" width="10.6328125" customWidth="1"/>
    <col min="4" max="4" width="15.7265625" customWidth="1"/>
    <col min="5" max="5" width="15" customWidth="1"/>
    <col min="7" max="7" width="12.36328125" customWidth="1"/>
    <col min="8" max="8" width="12.26953125" customWidth="1"/>
    <col min="9" max="10" width="12.08984375" customWidth="1"/>
    <col min="11" max="11" width="12.26953125" customWidth="1"/>
  </cols>
  <sheetData>
    <row r="1" spans="1:11" ht="18">
      <c r="A1" s="1" t="s">
        <v>0</v>
      </c>
    </row>
    <row r="3" spans="1:11" ht="13">
      <c r="B3" s="10" t="s">
        <v>1</v>
      </c>
      <c r="C3" s="10" t="s">
        <v>2</v>
      </c>
      <c r="D3" s="10" t="s">
        <v>3</v>
      </c>
      <c r="E3" s="10" t="s">
        <v>4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</row>
    <row r="4" spans="1:11">
      <c r="B4" t="s">
        <v>5</v>
      </c>
      <c r="C4" s="6">
        <v>0.14000000000000001</v>
      </c>
      <c r="D4" s="36">
        <v>0</v>
      </c>
      <c r="E4" s="34">
        <f>D4*C4</f>
        <v>0</v>
      </c>
      <c r="G4" s="6">
        <v>1</v>
      </c>
      <c r="H4" s="6">
        <v>0.45</v>
      </c>
      <c r="I4" s="6">
        <v>0.75</v>
      </c>
      <c r="J4" s="6">
        <v>-0.25</v>
      </c>
      <c r="K4" s="6">
        <v>-0.01</v>
      </c>
    </row>
    <row r="5" spans="1:11">
      <c r="B5" t="s">
        <v>6</v>
      </c>
      <c r="C5" s="6">
        <v>0.2</v>
      </c>
      <c r="D5" s="36">
        <v>0</v>
      </c>
      <c r="E5" s="34">
        <f t="shared" ref="E5:E7" si="0">D5*C5</f>
        <v>0</v>
      </c>
      <c r="G5" s="6">
        <v>1</v>
      </c>
      <c r="H5" s="6">
        <v>-0.55000000000000004</v>
      </c>
      <c r="I5" s="6">
        <v>-0.25</v>
      </c>
      <c r="J5" s="6">
        <v>0.75</v>
      </c>
      <c r="K5" s="6">
        <v>0.05</v>
      </c>
    </row>
    <row r="6" spans="1:11">
      <c r="B6" t="s">
        <v>7</v>
      </c>
      <c r="C6" s="6">
        <v>0.2</v>
      </c>
      <c r="D6" s="36">
        <v>0</v>
      </c>
      <c r="E6" s="34">
        <f t="shared" si="0"/>
        <v>0</v>
      </c>
      <c r="G6" s="6">
        <v>1</v>
      </c>
      <c r="H6" s="6">
        <v>0</v>
      </c>
      <c r="I6" s="6">
        <v>-0.25</v>
      </c>
      <c r="J6" s="6">
        <v>-0.25</v>
      </c>
      <c r="K6" s="6">
        <v>0.05</v>
      </c>
    </row>
    <row r="7" spans="1:11">
      <c r="B7" t="s">
        <v>8</v>
      </c>
      <c r="C7" s="6">
        <v>0.1</v>
      </c>
      <c r="D7" s="36">
        <v>0</v>
      </c>
      <c r="E7" s="34">
        <f t="shared" si="0"/>
        <v>0</v>
      </c>
      <c r="G7" s="6">
        <v>1</v>
      </c>
      <c r="H7" s="6">
        <v>0</v>
      </c>
      <c r="I7" s="6">
        <v>-0.25</v>
      </c>
      <c r="J7" s="6">
        <v>-0.25</v>
      </c>
      <c r="K7" s="6">
        <v>-0.05</v>
      </c>
    </row>
    <row r="8" spans="1:11">
      <c r="G8" s="34" cm="1">
        <f t="array" ref="G8">SUM($D4:$D7*G4:G7)</f>
        <v>0</v>
      </c>
      <c r="H8" s="34" cm="1">
        <f t="array" ref="H8">SUM($D4:$D7*H4:H7)</f>
        <v>0</v>
      </c>
      <c r="I8" s="34" cm="1">
        <f t="array" ref="I8">SUM($D4:$D7*I4:I7)</f>
        <v>0</v>
      </c>
      <c r="J8" s="34" cm="1">
        <f t="array" ref="J8">SUM($D4:$D7*J4:J7)</f>
        <v>0</v>
      </c>
      <c r="K8" s="34" cm="1">
        <f t="array" ref="K8">SUM($D4:$D7*K4:K7)</f>
        <v>0</v>
      </c>
    </row>
    <row r="9" spans="1:11" ht="13">
      <c r="D9" s="10" t="s">
        <v>22</v>
      </c>
      <c r="E9" s="37">
        <f>SUM(E4,E7)</f>
        <v>0</v>
      </c>
      <c r="G9" s="6" t="s">
        <v>23</v>
      </c>
      <c r="H9" s="6" t="s">
        <v>24</v>
      </c>
      <c r="I9" s="6" t="s">
        <v>24</v>
      </c>
      <c r="J9" s="5" t="s">
        <v>23</v>
      </c>
      <c r="K9" s="5" t="s">
        <v>23</v>
      </c>
    </row>
    <row r="10" spans="1:11">
      <c r="G10" s="6">
        <v>250</v>
      </c>
      <c r="H10" s="6">
        <v>0</v>
      </c>
      <c r="I10" s="6">
        <v>0</v>
      </c>
      <c r="J10" s="6">
        <v>0</v>
      </c>
      <c r="K10" s="6">
        <v>0</v>
      </c>
    </row>
  </sheetData>
  <phoneticPr fontId="9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workbookViewId="0">
      <selection activeCell="N15" sqref="N15"/>
    </sheetView>
  </sheetViews>
  <sheetFormatPr defaultColWidth="9" defaultRowHeight="12.5"/>
  <cols>
    <col min="1" max="1" width="5.36328125" customWidth="1"/>
    <col min="2" max="2" width="17.36328125" customWidth="1"/>
    <col min="3" max="3" width="10.36328125" customWidth="1"/>
    <col min="4" max="4" width="6.26953125" customWidth="1"/>
    <col min="5" max="5" width="11.26953125" customWidth="1"/>
    <col min="6" max="6" width="4.7265625" customWidth="1"/>
    <col min="7" max="8" width="10.6328125" customWidth="1"/>
    <col min="9" max="9" width="4.36328125" customWidth="1"/>
    <col min="10" max="10" width="10.6328125" customWidth="1"/>
    <col min="11" max="11" width="3.7265625" customWidth="1"/>
  </cols>
  <sheetData>
    <row r="1" spans="1:10" ht="18">
      <c r="A1" s="1" t="s">
        <v>25</v>
      </c>
    </row>
    <row r="3" spans="1:10" s="29" customFormat="1" ht="26">
      <c r="C3" s="30" t="s">
        <v>26</v>
      </c>
      <c r="D3" s="30"/>
      <c r="E3" s="30" t="s">
        <v>27</v>
      </c>
      <c r="F3" s="30"/>
      <c r="G3" s="30" t="s">
        <v>28</v>
      </c>
      <c r="H3" s="30" t="s">
        <v>29</v>
      </c>
      <c r="J3" s="30" t="s">
        <v>30</v>
      </c>
    </row>
    <row r="4" spans="1:10" ht="13">
      <c r="B4" s="2" t="s">
        <v>31</v>
      </c>
      <c r="C4" s="31">
        <v>15</v>
      </c>
      <c r="D4" s="5" t="s">
        <v>23</v>
      </c>
      <c r="E4" s="5">
        <v>40</v>
      </c>
      <c r="F4" s="10"/>
      <c r="G4" s="6">
        <v>120</v>
      </c>
      <c r="H4" s="32">
        <f>C4*G4</f>
        <v>1800</v>
      </c>
      <c r="J4" s="6">
        <v>20</v>
      </c>
    </row>
    <row r="5" spans="1:10" ht="13">
      <c r="B5" s="2" t="s">
        <v>32</v>
      </c>
      <c r="C5" s="31">
        <v>10</v>
      </c>
      <c r="D5" s="5" t="s">
        <v>23</v>
      </c>
      <c r="E5" s="5">
        <v>10</v>
      </c>
      <c r="G5" s="6">
        <v>80</v>
      </c>
      <c r="H5" s="32">
        <f>C5*G5</f>
        <v>800</v>
      </c>
      <c r="J5" s="6">
        <v>10</v>
      </c>
    </row>
    <row r="6" spans="1:10" ht="13">
      <c r="B6" s="2"/>
      <c r="F6" s="33"/>
    </row>
    <row r="7" spans="1:10" ht="13">
      <c r="B7" s="2" t="s">
        <v>33</v>
      </c>
      <c r="C7" s="34">
        <f>C4-C5</f>
        <v>5</v>
      </c>
      <c r="D7" s="5" t="s">
        <v>23</v>
      </c>
      <c r="E7" s="6">
        <v>5</v>
      </c>
      <c r="F7" s="33"/>
      <c r="H7" s="10" t="s">
        <v>34</v>
      </c>
      <c r="J7" s="10" t="s">
        <v>35</v>
      </c>
    </row>
    <row r="8" spans="1:10" ht="13">
      <c r="B8" s="2" t="s">
        <v>36</v>
      </c>
      <c r="C8" s="34">
        <f>C5-C4</f>
        <v>-5</v>
      </c>
      <c r="D8" s="5" t="s">
        <v>23</v>
      </c>
      <c r="E8" s="6">
        <v>5</v>
      </c>
      <c r="H8" s="11">
        <f>H4+H5</f>
        <v>2600</v>
      </c>
      <c r="J8" s="34">
        <f>J4*C4+J5*C5</f>
        <v>400</v>
      </c>
    </row>
    <row r="9" spans="1:10" ht="13">
      <c r="B9" s="2"/>
      <c r="J9" s="6" t="s">
        <v>23</v>
      </c>
    </row>
    <row r="10" spans="1:10" ht="13">
      <c r="B10" s="2"/>
      <c r="H10">
        <v>40</v>
      </c>
      <c r="J10" s="6">
        <v>500</v>
      </c>
    </row>
    <row r="11" spans="1:10" ht="13">
      <c r="B11" s="2"/>
      <c r="C11" s="33"/>
      <c r="D11" s="33"/>
      <c r="E11" s="33"/>
      <c r="J11" s="10" t="s">
        <v>37</v>
      </c>
    </row>
    <row r="13" spans="1:10" ht="13">
      <c r="B13" s="2"/>
    </row>
    <row r="14" spans="1:10">
      <c r="E14" s="35"/>
    </row>
    <row r="15" spans="1:10" ht="13">
      <c r="B15" s="2"/>
    </row>
    <row r="16" spans="1:10" ht="13">
      <c r="B16" s="2"/>
      <c r="E16" s="35"/>
    </row>
    <row r="17" spans="2:5" ht="13">
      <c r="B17" s="2"/>
    </row>
    <row r="18" spans="2:5">
      <c r="E18" s="35"/>
    </row>
    <row r="19" spans="2:5">
      <c r="E19" s="35"/>
    </row>
  </sheetData>
  <phoneticPr fontId="9" type="noConversion"/>
  <pageMargins left="0.75" right="0.75" top="1" bottom="1" header="0.5" footer="0.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"/>
  <sheetViews>
    <sheetView workbookViewId="0">
      <selection activeCell="I4" sqref="I4"/>
    </sheetView>
  </sheetViews>
  <sheetFormatPr defaultColWidth="8.6328125" defaultRowHeight="12.75" customHeight="1"/>
  <cols>
    <col min="1" max="1" width="5.6328125" style="18" customWidth="1"/>
    <col min="2" max="2" width="16.26953125" style="19" customWidth="1"/>
    <col min="3" max="3" width="11.36328125" style="19" customWidth="1"/>
    <col min="4" max="4" width="19" style="19" customWidth="1"/>
    <col min="5" max="5" width="10" style="19" customWidth="1"/>
    <col min="6" max="6" width="16.26953125" style="19" customWidth="1"/>
    <col min="7" max="7" width="13.26953125" style="19" customWidth="1"/>
    <col min="8" max="8" width="15.36328125" style="19" customWidth="1"/>
    <col min="9" max="9" width="15.7265625" style="19" customWidth="1"/>
    <col min="10" max="10" width="13.6328125" style="19" customWidth="1"/>
    <col min="11" max="11" width="4.7265625" style="20" customWidth="1"/>
    <col min="12" max="12" width="19.7265625" style="19" customWidth="1"/>
    <col min="13" max="13" width="5" style="20" customWidth="1"/>
    <col min="14" max="14" width="15.36328125" style="19" customWidth="1"/>
    <col min="15" max="21" width="5.7265625" style="19" customWidth="1"/>
    <col min="22" max="22" width="9.7265625" style="19" customWidth="1"/>
    <col min="23" max="23" width="4.7265625" style="19" customWidth="1"/>
    <col min="24" max="24" width="7.26953125" style="19" customWidth="1"/>
    <col min="25" max="16384" width="8.6328125" style="19"/>
  </cols>
  <sheetData>
    <row r="1" spans="1:42" ht="21" customHeight="1">
      <c r="A1" s="1" t="s">
        <v>38</v>
      </c>
      <c r="AN1" s="28" t="s">
        <v>39</v>
      </c>
      <c r="AO1" s="28" t="s">
        <v>40</v>
      </c>
      <c r="AP1" s="20" t="s">
        <v>41</v>
      </c>
    </row>
    <row r="2" spans="1:42" ht="12.75" customHeight="1">
      <c r="A2" s="21"/>
      <c r="AN2" s="28" t="s">
        <v>42</v>
      </c>
      <c r="AO2" s="28" t="s">
        <v>43</v>
      </c>
      <c r="AP2" s="20" t="s">
        <v>44</v>
      </c>
    </row>
    <row r="3" spans="1:42" ht="12.75" customHeight="1">
      <c r="B3" s="22" t="s">
        <v>45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111</v>
      </c>
      <c r="H3" s="22" t="s">
        <v>50</v>
      </c>
      <c r="I3" s="22" t="s">
        <v>51</v>
      </c>
      <c r="J3" s="22" t="s">
        <v>52</v>
      </c>
      <c r="K3" s="22"/>
      <c r="L3" s="22" t="s">
        <v>53</v>
      </c>
      <c r="M3" s="22"/>
      <c r="N3" s="22" t="s">
        <v>54</v>
      </c>
      <c r="W3" s="20" t="s">
        <v>55</v>
      </c>
      <c r="AN3" s="28" t="s">
        <v>56</v>
      </c>
      <c r="AO3" s="28" t="s">
        <v>57</v>
      </c>
      <c r="AP3" s="20" t="s">
        <v>58</v>
      </c>
    </row>
    <row r="4" spans="1:42" ht="12.75" customHeight="1">
      <c r="B4" s="19" t="s">
        <v>59</v>
      </c>
      <c r="C4" s="20">
        <v>1.25</v>
      </c>
      <c r="D4" s="23">
        <f>$C4*$L4</f>
        <v>375</v>
      </c>
      <c r="E4" s="20">
        <v>2.15</v>
      </c>
      <c r="F4" s="23">
        <f>$E4*$L4</f>
        <v>645</v>
      </c>
      <c r="G4" s="20">
        <v>2.27</v>
      </c>
      <c r="H4" s="23">
        <f>$G4*$L4</f>
        <v>681</v>
      </c>
      <c r="I4" s="23">
        <f>$H4-$F4</f>
        <v>36</v>
      </c>
      <c r="J4" s="20">
        <v>300</v>
      </c>
      <c r="K4" s="20" t="s">
        <v>23</v>
      </c>
      <c r="L4" s="25">
        <v>300</v>
      </c>
      <c r="M4" s="26" t="s">
        <v>23</v>
      </c>
      <c r="N4" s="20">
        <v>1500</v>
      </c>
      <c r="AN4" s="28"/>
      <c r="AO4" s="28" t="s">
        <v>60</v>
      </c>
      <c r="AP4" s="20" t="s">
        <v>61</v>
      </c>
    </row>
    <row r="5" spans="1:42" ht="12.75" customHeight="1">
      <c r="B5" s="19" t="s">
        <v>62</v>
      </c>
      <c r="C5" s="20">
        <v>1.25</v>
      </c>
      <c r="D5" s="23">
        <f t="shared" ref="D5:D18" si="0">$C5*$L5</f>
        <v>2500</v>
      </c>
      <c r="E5" s="20">
        <v>2.2000000000000002</v>
      </c>
      <c r="F5" s="23">
        <f t="shared" ref="F5:F18" si="1">$E5*$L5</f>
        <v>4400</v>
      </c>
      <c r="G5" s="20">
        <v>2.48</v>
      </c>
      <c r="H5" s="23">
        <f t="shared" ref="H5:H18" si="2">$G5*$L5</f>
        <v>4960</v>
      </c>
      <c r="I5" s="23">
        <f t="shared" ref="I5:I18" si="3">$H5-$F5</f>
        <v>560</v>
      </c>
      <c r="J5" s="20">
        <v>400</v>
      </c>
      <c r="K5" s="20" t="s">
        <v>23</v>
      </c>
      <c r="L5" s="25">
        <v>2000</v>
      </c>
      <c r="M5" s="26" t="s">
        <v>23</v>
      </c>
      <c r="N5" s="20">
        <v>2000</v>
      </c>
      <c r="AN5" s="28" t="s">
        <v>63</v>
      </c>
      <c r="AO5" s="28" t="s">
        <v>64</v>
      </c>
      <c r="AP5" s="20" t="s">
        <v>65</v>
      </c>
    </row>
    <row r="6" spans="1:42" ht="12.75" customHeight="1">
      <c r="B6" s="19" t="s">
        <v>66</v>
      </c>
      <c r="C6" s="20">
        <v>1.25</v>
      </c>
      <c r="D6" s="23">
        <f t="shared" si="0"/>
        <v>1125</v>
      </c>
      <c r="E6" s="20">
        <v>2.4</v>
      </c>
      <c r="F6" s="23">
        <f t="shared" si="1"/>
        <v>2160</v>
      </c>
      <c r="G6" s="20">
        <v>2.7</v>
      </c>
      <c r="H6" s="23">
        <f t="shared" si="2"/>
        <v>2430</v>
      </c>
      <c r="I6" s="23">
        <f t="shared" si="3"/>
        <v>270</v>
      </c>
      <c r="J6" s="20">
        <v>250</v>
      </c>
      <c r="K6" s="20" t="s">
        <v>23</v>
      </c>
      <c r="L6" s="25">
        <v>900</v>
      </c>
      <c r="M6" s="26" t="s">
        <v>23</v>
      </c>
      <c r="N6" s="20">
        <v>900</v>
      </c>
      <c r="AN6" s="28" t="s">
        <v>67</v>
      </c>
      <c r="AO6" s="28" t="s">
        <v>68</v>
      </c>
      <c r="AP6" s="20" t="s">
        <v>69</v>
      </c>
    </row>
    <row r="7" spans="1:42" ht="12.75" customHeight="1">
      <c r="B7" s="19" t="s">
        <v>70</v>
      </c>
      <c r="C7" s="20">
        <v>1.25</v>
      </c>
      <c r="D7" s="23">
        <f t="shared" si="0"/>
        <v>0</v>
      </c>
      <c r="E7" s="20">
        <v>4.8</v>
      </c>
      <c r="F7" s="23">
        <f t="shared" si="1"/>
        <v>0</v>
      </c>
      <c r="G7" s="20">
        <v>5.2</v>
      </c>
      <c r="H7" s="23">
        <f t="shared" si="2"/>
        <v>0</v>
      </c>
      <c r="I7" s="23">
        <f t="shared" si="3"/>
        <v>0</v>
      </c>
      <c r="J7" s="20">
        <v>0</v>
      </c>
      <c r="K7" s="20" t="s">
        <v>23</v>
      </c>
      <c r="L7" s="25">
        <v>0</v>
      </c>
      <c r="M7" s="26" t="s">
        <v>23</v>
      </c>
      <c r="N7" s="20">
        <v>150</v>
      </c>
      <c r="AN7" s="28" t="s">
        <v>71</v>
      </c>
      <c r="AO7" s="28" t="s">
        <v>64</v>
      </c>
      <c r="AP7" s="20" t="s">
        <v>72</v>
      </c>
    </row>
    <row r="8" spans="1:42" ht="12.75" customHeight="1">
      <c r="B8" s="19" t="s">
        <v>73</v>
      </c>
      <c r="C8" s="20">
        <v>1.25</v>
      </c>
      <c r="D8" s="23">
        <f t="shared" si="0"/>
        <v>1500</v>
      </c>
      <c r="E8" s="20">
        <v>2.6</v>
      </c>
      <c r="F8" s="23">
        <f t="shared" si="1"/>
        <v>3120</v>
      </c>
      <c r="G8" s="20">
        <v>2.92</v>
      </c>
      <c r="H8" s="23">
        <f t="shared" si="2"/>
        <v>3504</v>
      </c>
      <c r="I8" s="23">
        <f t="shared" si="3"/>
        <v>384</v>
      </c>
      <c r="J8" s="20">
        <v>300</v>
      </c>
      <c r="K8" s="20" t="s">
        <v>23</v>
      </c>
      <c r="L8" s="25">
        <v>1200</v>
      </c>
      <c r="M8" s="26" t="s">
        <v>23</v>
      </c>
      <c r="N8" s="20">
        <v>1200</v>
      </c>
      <c r="AN8" s="28"/>
      <c r="AO8" s="28" t="s">
        <v>74</v>
      </c>
      <c r="AP8" s="20" t="s">
        <v>75</v>
      </c>
    </row>
    <row r="9" spans="1:42" ht="12.75" customHeight="1">
      <c r="B9" s="19" t="s">
        <v>76</v>
      </c>
      <c r="C9" s="20">
        <v>1.25</v>
      </c>
      <c r="D9" s="23">
        <f t="shared" si="0"/>
        <v>250</v>
      </c>
      <c r="E9" s="20">
        <v>2.2999999999999998</v>
      </c>
      <c r="F9" s="23">
        <f t="shared" si="1"/>
        <v>459.99999999999994</v>
      </c>
      <c r="G9" s="20">
        <v>2.48</v>
      </c>
      <c r="H9" s="23">
        <f t="shared" si="2"/>
        <v>496</v>
      </c>
      <c r="I9" s="23">
        <f t="shared" si="3"/>
        <v>36.000000000000057</v>
      </c>
      <c r="J9" s="20">
        <v>200</v>
      </c>
      <c r="K9" s="20" t="s">
        <v>23</v>
      </c>
      <c r="L9" s="25">
        <v>200</v>
      </c>
      <c r="M9" s="26" t="s">
        <v>23</v>
      </c>
      <c r="N9" s="20">
        <v>800</v>
      </c>
      <c r="AN9" s="28"/>
      <c r="AO9" s="28" t="s">
        <v>77</v>
      </c>
      <c r="AP9" s="20" t="s">
        <v>78</v>
      </c>
    </row>
    <row r="10" spans="1:42" ht="12.75" customHeight="1">
      <c r="B10" s="19" t="s">
        <v>79</v>
      </c>
      <c r="C10" s="20">
        <v>1.25</v>
      </c>
      <c r="D10" s="23">
        <f t="shared" si="0"/>
        <v>187.5</v>
      </c>
      <c r="E10" s="20">
        <v>2.35</v>
      </c>
      <c r="F10" s="23">
        <f t="shared" si="1"/>
        <v>352.5</v>
      </c>
      <c r="G10" s="20">
        <v>2.2000000000000002</v>
      </c>
      <c r="H10" s="23">
        <f t="shared" si="2"/>
        <v>330</v>
      </c>
      <c r="I10" s="23">
        <f t="shared" si="3"/>
        <v>-22.5</v>
      </c>
      <c r="J10" s="20">
        <v>150</v>
      </c>
      <c r="K10" s="20" t="s">
        <v>23</v>
      </c>
      <c r="L10" s="25">
        <v>150</v>
      </c>
      <c r="M10" s="26" t="s">
        <v>23</v>
      </c>
      <c r="N10" s="20">
        <v>600</v>
      </c>
    </row>
    <row r="11" spans="1:42" ht="12.75" customHeight="1">
      <c r="B11" s="19" t="s">
        <v>80</v>
      </c>
      <c r="C11" s="20">
        <v>1.25</v>
      </c>
      <c r="D11" s="23">
        <f t="shared" si="0"/>
        <v>125</v>
      </c>
      <c r="E11" s="20">
        <v>2.85</v>
      </c>
      <c r="F11" s="23">
        <f t="shared" si="1"/>
        <v>285</v>
      </c>
      <c r="G11" s="20">
        <v>3.13</v>
      </c>
      <c r="H11" s="23">
        <f t="shared" si="2"/>
        <v>313</v>
      </c>
      <c r="I11" s="23">
        <f t="shared" si="3"/>
        <v>28</v>
      </c>
      <c r="J11" s="20">
        <v>100</v>
      </c>
      <c r="K11" s="20" t="s">
        <v>23</v>
      </c>
      <c r="L11" s="25">
        <v>100</v>
      </c>
      <c r="M11" s="26" t="s">
        <v>23</v>
      </c>
      <c r="N11" s="20">
        <v>300</v>
      </c>
    </row>
    <row r="12" spans="1:42" ht="12.75" customHeight="1">
      <c r="B12" s="19" t="s">
        <v>81</v>
      </c>
      <c r="C12" s="20">
        <v>1.25</v>
      </c>
      <c r="D12" s="23">
        <f t="shared" si="0"/>
        <v>937.5</v>
      </c>
      <c r="E12" s="20">
        <v>2.25</v>
      </c>
      <c r="F12" s="23">
        <f t="shared" si="1"/>
        <v>1687.5</v>
      </c>
      <c r="G12" s="20">
        <v>2.48</v>
      </c>
      <c r="H12" s="23">
        <f t="shared" si="2"/>
        <v>1860</v>
      </c>
      <c r="I12" s="23">
        <f t="shared" si="3"/>
        <v>172.5</v>
      </c>
      <c r="J12" s="20">
        <v>750</v>
      </c>
      <c r="K12" s="20" t="s">
        <v>23</v>
      </c>
      <c r="L12" s="25">
        <v>750</v>
      </c>
      <c r="M12" s="26" t="s">
        <v>23</v>
      </c>
      <c r="N12" s="20">
        <v>3500</v>
      </c>
    </row>
    <row r="13" spans="1:42" ht="12.75" customHeight="1">
      <c r="B13" s="19" t="s">
        <v>60</v>
      </c>
      <c r="C13" s="20">
        <v>1.25</v>
      </c>
      <c r="D13" s="23">
        <f t="shared" si="0"/>
        <v>500</v>
      </c>
      <c r="E13" s="20">
        <v>2.1</v>
      </c>
      <c r="F13" s="23">
        <f t="shared" si="1"/>
        <v>840</v>
      </c>
      <c r="G13" s="20">
        <v>2.27</v>
      </c>
      <c r="H13" s="23">
        <f t="shared" si="2"/>
        <v>908</v>
      </c>
      <c r="I13" s="23">
        <f t="shared" si="3"/>
        <v>68</v>
      </c>
      <c r="J13" s="20">
        <v>400</v>
      </c>
      <c r="K13" s="20" t="s">
        <v>23</v>
      </c>
      <c r="L13" s="25">
        <v>400</v>
      </c>
      <c r="M13" s="26" t="s">
        <v>23</v>
      </c>
      <c r="N13" s="20">
        <v>2000</v>
      </c>
    </row>
    <row r="14" spans="1:42" ht="12.75" customHeight="1">
      <c r="B14" s="19" t="s">
        <v>82</v>
      </c>
      <c r="C14" s="20">
        <v>1.25</v>
      </c>
      <c r="D14" s="23">
        <f t="shared" si="0"/>
        <v>2687.4999999999991</v>
      </c>
      <c r="E14" s="20">
        <v>2.8</v>
      </c>
      <c r="F14" s="23">
        <f t="shared" si="1"/>
        <v>6019.9999999999973</v>
      </c>
      <c r="G14" s="20">
        <v>3.13</v>
      </c>
      <c r="H14" s="23">
        <f t="shared" si="2"/>
        <v>6729.4999999999973</v>
      </c>
      <c r="I14" s="23">
        <f t="shared" si="3"/>
        <v>709.5</v>
      </c>
      <c r="J14" s="20">
        <v>500</v>
      </c>
      <c r="K14" s="20" t="s">
        <v>23</v>
      </c>
      <c r="L14" s="25">
        <v>2149.9999999999991</v>
      </c>
      <c r="M14" s="26" t="s">
        <v>23</v>
      </c>
      <c r="N14" s="20">
        <v>3300</v>
      </c>
    </row>
    <row r="15" spans="1:42" ht="12.75" customHeight="1">
      <c r="B15" s="19" t="s">
        <v>83</v>
      </c>
      <c r="C15" s="20">
        <v>1.25</v>
      </c>
      <c r="D15" s="23">
        <f t="shared" si="0"/>
        <v>125</v>
      </c>
      <c r="E15" s="20">
        <v>3</v>
      </c>
      <c r="F15" s="23">
        <f t="shared" si="1"/>
        <v>300</v>
      </c>
      <c r="G15" s="20">
        <v>3.18</v>
      </c>
      <c r="H15" s="23">
        <f t="shared" si="2"/>
        <v>318</v>
      </c>
      <c r="I15" s="23">
        <f t="shared" si="3"/>
        <v>18</v>
      </c>
      <c r="J15" s="20">
        <v>100</v>
      </c>
      <c r="K15" s="20" t="s">
        <v>23</v>
      </c>
      <c r="L15" s="25">
        <v>100</v>
      </c>
      <c r="M15" s="26" t="s">
        <v>23</v>
      </c>
      <c r="N15" s="20">
        <v>500</v>
      </c>
    </row>
    <row r="16" spans="1:42" ht="12.75" customHeight="1">
      <c r="B16" s="19" t="s">
        <v>84</v>
      </c>
      <c r="C16" s="20">
        <v>1.25</v>
      </c>
      <c r="D16" s="23">
        <f t="shared" si="0"/>
        <v>4000</v>
      </c>
      <c r="E16" s="20">
        <v>2.6</v>
      </c>
      <c r="F16" s="23">
        <f t="shared" si="1"/>
        <v>8320</v>
      </c>
      <c r="G16" s="20">
        <v>2.92</v>
      </c>
      <c r="H16" s="23">
        <f t="shared" si="2"/>
        <v>9344</v>
      </c>
      <c r="I16" s="23">
        <f t="shared" si="3"/>
        <v>1024</v>
      </c>
      <c r="J16" s="20">
        <v>500</v>
      </c>
      <c r="K16" s="20" t="s">
        <v>23</v>
      </c>
      <c r="L16" s="25">
        <v>3200</v>
      </c>
      <c r="M16" s="26" t="s">
        <v>23</v>
      </c>
      <c r="N16" s="20">
        <v>3200</v>
      </c>
    </row>
    <row r="17" spans="2:14" ht="12.75" customHeight="1">
      <c r="B17" s="19" t="s">
        <v>74</v>
      </c>
      <c r="C17" s="20">
        <v>1.25</v>
      </c>
      <c r="D17" s="23">
        <f t="shared" si="0"/>
        <v>125</v>
      </c>
      <c r="E17" s="20">
        <v>2.5</v>
      </c>
      <c r="F17" s="23">
        <f t="shared" si="1"/>
        <v>250</v>
      </c>
      <c r="G17" s="20">
        <v>2.7</v>
      </c>
      <c r="H17" s="23">
        <f t="shared" si="2"/>
        <v>270</v>
      </c>
      <c r="I17" s="23">
        <f t="shared" si="3"/>
        <v>20</v>
      </c>
      <c r="J17" s="20">
        <v>100</v>
      </c>
      <c r="K17" s="20" t="s">
        <v>23</v>
      </c>
      <c r="L17" s="25">
        <v>100</v>
      </c>
      <c r="M17" s="26" t="s">
        <v>23</v>
      </c>
      <c r="N17" s="20">
        <v>500</v>
      </c>
    </row>
    <row r="18" spans="2:14" ht="12.75" customHeight="1">
      <c r="B18" s="19" t="s">
        <v>77</v>
      </c>
      <c r="C18" s="20">
        <v>1.25</v>
      </c>
      <c r="D18" s="23">
        <f t="shared" si="0"/>
        <v>500</v>
      </c>
      <c r="E18" s="20">
        <v>2.9</v>
      </c>
      <c r="F18" s="23">
        <f t="shared" si="1"/>
        <v>1160</v>
      </c>
      <c r="G18" s="20">
        <v>3.13</v>
      </c>
      <c r="H18" s="23">
        <f t="shared" si="2"/>
        <v>1252</v>
      </c>
      <c r="I18" s="23">
        <f t="shared" si="3"/>
        <v>92</v>
      </c>
      <c r="J18" s="20">
        <v>400</v>
      </c>
      <c r="K18" s="20" t="s">
        <v>23</v>
      </c>
      <c r="L18" s="25">
        <v>400</v>
      </c>
      <c r="M18" s="26" t="s">
        <v>23</v>
      </c>
      <c r="N18" s="20">
        <v>2500</v>
      </c>
    </row>
    <row r="20" spans="2:14" ht="12.75" customHeight="1">
      <c r="D20" s="23">
        <f>SUM(D4:D18)</f>
        <v>14937.5</v>
      </c>
      <c r="F20" s="23">
        <f>SUM(F4:F18)</f>
        <v>29999.999999999996</v>
      </c>
      <c r="H20" s="23">
        <f t="shared" ref="H20:I20" si="4">SUM(H4:H18)</f>
        <v>33395.5</v>
      </c>
      <c r="I20" s="27">
        <f t="shared" si="4"/>
        <v>3395.5</v>
      </c>
      <c r="L20" s="23">
        <f>SUM(L4:L18)</f>
        <v>11950</v>
      </c>
      <c r="M20" s="26"/>
    </row>
    <row r="21" spans="2:14" ht="12.75" customHeight="1">
      <c r="D21" s="47" t="s">
        <v>23</v>
      </c>
      <c r="F21" s="47" t="s">
        <v>23</v>
      </c>
      <c r="H21" s="22" t="s">
        <v>85</v>
      </c>
      <c r="I21" s="22" t="s">
        <v>34</v>
      </c>
      <c r="L21" s="22" t="s">
        <v>86</v>
      </c>
      <c r="M21" s="22"/>
    </row>
    <row r="22" spans="2:14" ht="12.75" customHeight="1">
      <c r="D22" s="24">
        <v>18000</v>
      </c>
      <c r="F22" s="24">
        <v>30000</v>
      </c>
    </row>
    <row r="23" spans="2:14" ht="12.75" customHeight="1">
      <c r="D23" s="22" t="s">
        <v>87</v>
      </c>
      <c r="F23" s="22" t="s">
        <v>88</v>
      </c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tabSelected="1" topLeftCell="A3" workbookViewId="0">
      <selection activeCell="F5" sqref="F5"/>
    </sheetView>
  </sheetViews>
  <sheetFormatPr defaultColWidth="9" defaultRowHeight="12.5"/>
  <cols>
    <col min="2" max="2" width="11.26953125" customWidth="1"/>
    <col min="3" max="3" width="10.36328125" customWidth="1"/>
    <col min="4" max="4" width="10.6328125" customWidth="1"/>
    <col min="5" max="6" width="10.7265625" customWidth="1"/>
    <col min="7" max="7" width="12.7265625" customWidth="1"/>
    <col min="8" max="8" width="4" customWidth="1"/>
    <col min="9" max="9" width="13.26953125" customWidth="1"/>
  </cols>
  <sheetData>
    <row r="1" spans="1:9" ht="18">
      <c r="A1" s="1" t="s">
        <v>89</v>
      </c>
    </row>
    <row r="2" spans="1:9" ht="13">
      <c r="A2" s="2" t="s">
        <v>90</v>
      </c>
    </row>
    <row r="4" spans="1:9" ht="26"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4"/>
      <c r="I4" s="3" t="s">
        <v>97</v>
      </c>
    </row>
    <row r="5" spans="1:9">
      <c r="B5" s="5" t="s">
        <v>98</v>
      </c>
      <c r="C5" s="6">
        <v>75</v>
      </c>
      <c r="D5" s="6">
        <v>15</v>
      </c>
      <c r="E5" s="6">
        <v>0.5</v>
      </c>
      <c r="F5" s="7"/>
      <c r="G5" s="8">
        <v>1500</v>
      </c>
      <c r="H5" s="48" t="s">
        <v>24</v>
      </c>
      <c r="I5" s="15">
        <v>0</v>
      </c>
    </row>
    <row r="6" spans="1:9">
      <c r="B6" s="5" t="s">
        <v>99</v>
      </c>
      <c r="C6" s="6">
        <v>60</v>
      </c>
      <c r="D6" s="6">
        <v>20</v>
      </c>
      <c r="E6" s="6">
        <v>0.6</v>
      </c>
      <c r="G6" s="9">
        <v>1200</v>
      </c>
      <c r="H6" s="48" t="s">
        <v>24</v>
      </c>
      <c r="I6" s="16">
        <v>0</v>
      </c>
    </row>
    <row r="7" spans="1:9">
      <c r="B7" s="5" t="s">
        <v>100</v>
      </c>
      <c r="C7" s="6">
        <v>85</v>
      </c>
      <c r="D7" s="6">
        <v>18</v>
      </c>
      <c r="E7" s="6">
        <v>0.7</v>
      </c>
      <c r="F7" s="7"/>
      <c r="G7" s="8">
        <v>2000</v>
      </c>
      <c r="H7" s="48" t="s">
        <v>24</v>
      </c>
      <c r="I7" s="15">
        <v>0</v>
      </c>
    </row>
    <row r="9" spans="1:9" ht="13">
      <c r="B9" s="10" t="s">
        <v>101</v>
      </c>
      <c r="C9" s="7"/>
      <c r="D9" s="7"/>
      <c r="E9" s="11"/>
      <c r="F9" s="6"/>
      <c r="I9" s="17"/>
    </row>
    <row r="10" spans="1:9" ht="13">
      <c r="C10" s="5" t="s">
        <v>24</v>
      </c>
      <c r="D10" s="5" t="s">
        <v>24</v>
      </c>
      <c r="E10" s="2" t="s">
        <v>102</v>
      </c>
      <c r="F10" s="2"/>
      <c r="I10" s="48" t="s">
        <v>103</v>
      </c>
    </row>
    <row r="11" spans="1:9" ht="13">
      <c r="B11" s="2" t="s">
        <v>104</v>
      </c>
      <c r="C11" s="6">
        <v>78</v>
      </c>
      <c r="D11" s="6">
        <v>16</v>
      </c>
      <c r="E11" s="6"/>
      <c r="F11" s="6"/>
      <c r="I11" s="9">
        <v>4000</v>
      </c>
    </row>
    <row r="12" spans="1:9">
      <c r="C12" s="12"/>
    </row>
    <row r="13" spans="1:9" ht="13">
      <c r="B13" s="13" t="s">
        <v>105</v>
      </c>
      <c r="C13" s="7"/>
    </row>
    <row r="14" spans="1:9" ht="13">
      <c r="C14" s="5" t="s">
        <v>24</v>
      </c>
      <c r="D14" s="2" t="s">
        <v>106</v>
      </c>
    </row>
    <row r="15" spans="1:9" ht="13">
      <c r="B15" s="13" t="s">
        <v>107</v>
      </c>
      <c r="C15" s="14"/>
    </row>
    <row r="17" spans="2:4" ht="13">
      <c r="B17" s="13" t="s">
        <v>108</v>
      </c>
      <c r="C17" s="7"/>
    </row>
    <row r="18" spans="2:4" ht="13">
      <c r="C18" s="5" t="s">
        <v>24</v>
      </c>
      <c r="D18" s="2" t="s">
        <v>109</v>
      </c>
    </row>
    <row r="19" spans="2:4" ht="13">
      <c r="B19" s="13" t="s">
        <v>110</v>
      </c>
      <c r="C19" s="14"/>
    </row>
  </sheetData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BankABC1 (6)</vt:lpstr>
      <vt:lpstr>BankABC1</vt:lpstr>
      <vt:lpstr>BankABC1 (2)</vt:lpstr>
      <vt:lpstr>BankABC1 (3)</vt:lpstr>
      <vt:lpstr>BankABC1 (4)</vt:lpstr>
      <vt:lpstr>BankABC1 (5)</vt:lpstr>
      <vt:lpstr>BankABC2 (2)</vt:lpstr>
      <vt:lpstr>BankABC2</vt:lpstr>
      <vt:lpstr>Apex</vt:lpstr>
      <vt:lpstr>VegetablesDistribution</vt:lpstr>
      <vt:lpstr>CoffeeBlend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2007-10-21T20:35:00Z</dcterms:created>
  <dcterms:modified xsi:type="dcterms:W3CDTF">2025-09-23T11:58:30Z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8CE83DA66260418A8C26CF3C3491DCEE_12</vt:lpwstr>
  </property>
  <property fmtid="{D5CDD505-2E9C-101B-9397-08002B2CF9AE}" pid="3" name="KSOProductBuildVer">
    <vt:lpwstr>2052-12.1.0.22529</vt:lpwstr>
  </property>
</Properties>
</file>