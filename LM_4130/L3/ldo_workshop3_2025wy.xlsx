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Linear and Discrete\Week3\"/>
    </mc:Choice>
  </mc:AlternateContent>
  <xr:revisionPtr revIDLastSave="0" documentId="13_ncr:1_{283FED84-F6B5-4752-8985-5036765B6DE5}" xr6:coauthVersionLast="47" xr6:coauthVersionMax="47" xr10:uidLastSave="{00000000-0000-0000-0000-000000000000}"/>
  <bookViews>
    <workbookView xWindow="-108" yWindow="-108" windowWidth="23256" windowHeight="12456" tabRatio="851" activeTab="1" xr2:uid="{00000000-000D-0000-FFFF-FFFF00000000}"/>
  </bookViews>
  <sheets>
    <sheet name="Apples" sheetId="54" r:id="rId1"/>
    <sheet name="LightsProduction" sheetId="55" r:id="rId2"/>
  </sheets>
  <definedNames>
    <definedName name="OpenSolver_ChosenSolver" localSheetId="1" hidden="1">CBC</definedName>
    <definedName name="OpenSolver_DualsNewSheet" localSheetId="1" hidden="1">FALSE</definedName>
    <definedName name="OpenSolver_LinearityCheck" localSheetId="1" hidden="1">1</definedName>
    <definedName name="sencount" hidden="1">2</definedName>
    <definedName name="solver_adj" localSheetId="0" hidden="1">Apples!$C$10:$D$10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2</definedName>
    <definedName name="solver_eng" localSheetId="1" hidden="1">2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0" localSheetId="1" hidden="1">LightsProduction!#REF!</definedName>
    <definedName name="solver_lhs1" localSheetId="0" hidden="1">Apples!$C$10</definedName>
    <definedName name="solver_lhs1" localSheetId="1" hidden="1">LightsProduction!#REF!</definedName>
    <definedName name="solver_lhs2" localSheetId="0" hidden="1">Apples!$C$11</definedName>
    <definedName name="solver_lhs2" localSheetId="1" hidden="1">LightsProduction!#REF!</definedName>
    <definedName name="solver_lhs3" localSheetId="0" hidden="1">Apples!$C$20</definedName>
    <definedName name="solver_lhs3" localSheetId="1" hidden="1">LightsProduction!#REF!</definedName>
    <definedName name="solver_lhs4" localSheetId="0" hidden="1">Apples!$C$20</definedName>
    <definedName name="solver_lhs4" localSheetId="1" hidden="1">LightsProduction!#REF!</definedName>
    <definedName name="solver_lhs5" localSheetId="0" hidden="1">Apples!$D$10</definedName>
    <definedName name="solver_lhs5" localSheetId="1" hidden="1">LightsProduction!#REF!</definedName>
    <definedName name="solver_lin" localSheetId="0" hidden="1">1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tri" hidden="1">1000</definedName>
    <definedName name="solver_num" localSheetId="0" hidden="1">5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opt" localSheetId="0" hidden="1">Apples!$C$17</definedName>
    <definedName name="solver_pre" localSheetId="0" hidden="1">0.000001</definedName>
    <definedName name="solver_pre" localSheetId="1" hidden="1">0.000001</definedName>
    <definedName name="solver_rbv" localSheetId="0" hidden="1">2</definedName>
    <definedName name="solver_rbv" localSheetId="1" hidden="1">1</definedName>
    <definedName name="solver_rel0" localSheetId="1" hidden="1">3</definedName>
    <definedName name="solver_rel1" localSheetId="0" hidden="1">4</definedName>
    <definedName name="solver_rel1" localSheetId="1" hidden="1">1</definedName>
    <definedName name="solver_rel2" localSheetId="0" hidden="1">1</definedName>
    <definedName name="solver_rel2" localSheetId="1" hidden="1">1</definedName>
    <definedName name="solver_rel3" localSheetId="0" hidden="1">1</definedName>
    <definedName name="solver_rel3" localSheetId="1" hidden="1">1</definedName>
    <definedName name="solver_rel4" localSheetId="0" hidden="1">3</definedName>
    <definedName name="solver_rel4" localSheetId="1" hidden="1">1</definedName>
    <definedName name="solver_rel5" localSheetId="0" hidden="1">4</definedName>
    <definedName name="solver_rel5" localSheetId="1" hidden="1">1</definedName>
    <definedName name="solver_rhs0" localSheetId="1" hidden="1">LightsProduction!#REF!</definedName>
    <definedName name="solver_rhs1" localSheetId="0" hidden="1">"整数"</definedName>
    <definedName name="solver_rhs1" localSheetId="1" hidden="1">LightsProduction!#REF!</definedName>
    <definedName name="solver_rhs2" localSheetId="0" hidden="1">Apples!$C$7</definedName>
    <definedName name="solver_rhs2" localSheetId="1" hidden="1">LightsProduction!#REF!</definedName>
    <definedName name="solver_rhs3" localSheetId="0" hidden="1">Apples!$C$19</definedName>
    <definedName name="solver_rhs3" localSheetId="1" hidden="1">LightsProduction!#REF!</definedName>
    <definedName name="solver_rhs4" localSheetId="0" hidden="1">Apples!$C$21</definedName>
    <definedName name="solver_rhs4" localSheetId="1" hidden="1">LightsProduction!#REF!</definedName>
    <definedName name="solver_rhs5" localSheetId="0" hidden="1">"整数"</definedName>
    <definedName name="solver_rhs5" localSheetId="1" hidden="1">LightsProduction!#REF!</definedName>
    <definedName name="solver_rlx" localSheetId="0" hidden="1">2</definedName>
    <definedName name="solver_rlx" localSheetId="1" hidden="1">1</definedName>
    <definedName name="solver_rsd" localSheetId="0" hidden="1">0</definedName>
    <definedName name="solver_rsd" localSheetId="1" hidden="1">0</definedName>
    <definedName name="solver_rsmp" hidden="1">2</definedName>
    <definedName name="solver_scl" localSheetId="0" hidden="1">2</definedName>
    <definedName name="solver_scl" localSheetId="1" hidden="1">1</definedName>
    <definedName name="solver_seed" hidden="1">0</definedName>
    <definedName name="solver_sho" localSheetId="0" hidden="1">2</definedName>
    <definedName name="solver_sho" localSheetId="1" hidden="1">2</definedName>
    <definedName name="solver_ssz" localSheetId="0" hidden="1">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54" l="1"/>
  <c r="C20" i="54" s="1"/>
  <c r="C9" i="54"/>
  <c r="C8" i="54" s="1"/>
  <c r="C11" i="54"/>
  <c r="D8" i="54" l="1"/>
  <c r="C13" i="54" s="1"/>
  <c r="C14" i="54"/>
  <c r="C21" i="54" s="1"/>
  <c r="C12" i="54"/>
  <c r="C19" i="54" l="1"/>
  <c r="C17" i="54"/>
</calcChain>
</file>

<file path=xl/sharedStrings.xml><?xml version="1.0" encoding="utf-8"?>
<sst xmlns="http://schemas.openxmlformats.org/spreadsheetml/2006/main" count="76" uniqueCount="55">
  <si>
    <t>APPLES Problem</t>
  </si>
  <si>
    <t>Apple Syrup</t>
  </si>
  <si>
    <t>Apple Juice</t>
    <phoneticPr fontId="1" type="noConversion"/>
  </si>
  <si>
    <t>Production Cost per Litre</t>
  </si>
  <si>
    <t>Selling Price per Litre</t>
  </si>
  <si>
    <t>Estimated Initial Demand</t>
  </si>
  <si>
    <t>Additional Demand per £1 Advertising</t>
  </si>
  <si>
    <t>Overall Budget</t>
  </si>
  <si>
    <t>Advertising Cost</t>
    <phoneticPr fontId="8" type="noConversion"/>
  </si>
  <si>
    <t>Maximize profit</t>
    <phoneticPr fontId="8" type="noConversion"/>
  </si>
  <si>
    <t>Total Advertising Cost</t>
    <phoneticPr fontId="8" type="noConversion"/>
  </si>
  <si>
    <t>Total Litre</t>
    <phoneticPr fontId="8" type="noConversion"/>
  </si>
  <si>
    <t>Additional Litre</t>
    <phoneticPr fontId="8" type="noConversion"/>
  </si>
  <si>
    <t>Total Selling</t>
    <phoneticPr fontId="8" type="noConversion"/>
  </si>
  <si>
    <t>Production Cost total Litre</t>
    <phoneticPr fontId="8" type="noConversion"/>
  </si>
  <si>
    <t>Total Production Cost</t>
    <phoneticPr fontId="8" type="noConversion"/>
  </si>
  <si>
    <t>Total Apple Juice Litre</t>
    <phoneticPr fontId="8" type="noConversion"/>
  </si>
  <si>
    <t>60%Total Litre</t>
    <phoneticPr fontId="8" type="noConversion"/>
  </si>
  <si>
    <t>20%Total Litre</t>
    <phoneticPr fontId="8" type="noConversion"/>
  </si>
  <si>
    <t>Department 1</t>
    <phoneticPr fontId="8" type="noConversion"/>
  </si>
  <si>
    <t>Department 2</t>
    <phoneticPr fontId="8" type="noConversion"/>
  </si>
  <si>
    <t>Table Lamp</t>
    <phoneticPr fontId="8" type="noConversion"/>
  </si>
  <si>
    <t>Floor Lamp</t>
    <phoneticPr fontId="8" type="noConversion"/>
  </si>
  <si>
    <t>Ceiling Fixture</t>
    <phoneticPr fontId="8" type="noConversion"/>
  </si>
  <si>
    <t>Chandelier</t>
    <phoneticPr fontId="8" type="noConversion"/>
  </si>
  <si>
    <t>LIGHTS PRODUCTION Problem</t>
    <phoneticPr fontId="8" type="noConversion"/>
  </si>
  <si>
    <t>Regular Time</t>
    <phoneticPr fontId="8" type="noConversion"/>
  </si>
  <si>
    <t xml:space="preserve">                                       Units Produced</t>
    <phoneticPr fontId="8" type="noConversion"/>
  </si>
  <si>
    <t>Overtime</t>
    <phoneticPr fontId="8" type="noConversion"/>
  </si>
  <si>
    <t>Total Produced</t>
    <phoneticPr fontId="8" type="noConversion"/>
  </si>
  <si>
    <t xml:space="preserve">              &lt;=</t>
    <phoneticPr fontId="8" type="noConversion"/>
  </si>
  <si>
    <t>Initial Demand</t>
    <phoneticPr fontId="8" type="noConversion"/>
  </si>
  <si>
    <t>Material Cost Per Unit</t>
    <phoneticPr fontId="8" type="noConversion"/>
  </si>
  <si>
    <t>Material Cost</t>
    <phoneticPr fontId="8" type="noConversion"/>
  </si>
  <si>
    <t>Production Cost</t>
    <phoneticPr fontId="8" type="noConversion"/>
  </si>
  <si>
    <t>Selling Price</t>
    <phoneticPr fontId="8" type="noConversion"/>
  </si>
  <si>
    <t>Revenue</t>
    <phoneticPr fontId="8" type="noConversion"/>
  </si>
  <si>
    <t>Net Profit</t>
    <phoneticPr fontId="8" type="noConversion"/>
  </si>
  <si>
    <t xml:space="preserve"> &lt;=</t>
    <phoneticPr fontId="8" type="noConversion"/>
  </si>
  <si>
    <t>Units to Produce Dept 1</t>
    <phoneticPr fontId="8" type="noConversion"/>
  </si>
  <si>
    <t>Production Capacity Dept 1</t>
    <phoneticPr fontId="8" type="noConversion"/>
  </si>
  <si>
    <t>Production Cost Per Unit Dept 1</t>
    <phoneticPr fontId="8" type="noConversion"/>
  </si>
  <si>
    <t>Production Cost Dept 1</t>
    <phoneticPr fontId="8" type="noConversion"/>
  </si>
  <si>
    <t>Units to Produce Dept 2</t>
    <phoneticPr fontId="8" type="noConversion"/>
  </si>
  <si>
    <t>Production Capacity Dept 2</t>
    <phoneticPr fontId="8" type="noConversion"/>
  </si>
  <si>
    <t>Production Cost Per Unit Dept 2</t>
    <phoneticPr fontId="8" type="noConversion"/>
  </si>
  <si>
    <t>Production Cost Dept 2</t>
    <phoneticPr fontId="8" type="noConversion"/>
  </si>
  <si>
    <t>Total Profit</t>
    <phoneticPr fontId="8" type="noConversion"/>
  </si>
  <si>
    <t>Additional Demand</t>
    <phoneticPr fontId="8" type="noConversion"/>
  </si>
  <si>
    <t xml:space="preserve"> Table Lamp</t>
    <phoneticPr fontId="8" type="noConversion"/>
  </si>
  <si>
    <t>Advertising Effect</t>
    <phoneticPr fontId="8" type="noConversion"/>
  </si>
  <si>
    <t>Advertising Expenditure</t>
    <phoneticPr fontId="8" type="noConversion"/>
  </si>
  <si>
    <t>Maximum Advertising</t>
    <phoneticPr fontId="8" type="noConversion"/>
  </si>
  <si>
    <t>Advertising Budget</t>
    <phoneticPr fontId="8" type="noConversion"/>
  </si>
  <si>
    <t>Total Advertising Expenditure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</si>
</sst>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$&quot;#,##0.00_);[Red]\(&quot;$&quot;#,##0.00\)"/>
    <numFmt numFmtId="177" formatCode="_(* #,##0.00_);_(* \(#,##0.00\);_(* &quot;-&quot;??_);_(@_)"/>
  </numFmts>
  <fonts count="1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0"/>
      <name val="Geneva"/>
    </font>
    <font>
      <sz val="11"/>
      <color theme="1"/>
      <name val="宋体"/>
      <family val="2"/>
      <charset val="129"/>
      <scheme val="minor"/>
    </font>
    <font>
      <sz val="10"/>
      <name val="MS Sans Serif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name val="宋体"/>
      <family val="3"/>
      <charset val="134"/>
    </font>
    <font>
      <b/>
      <sz val="11"/>
      <color theme="1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99FFCC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3" fillId="0" borderId="0"/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4" fillId="0" borderId="0">
      <alignment vertical="center"/>
    </xf>
    <xf numFmtId="0" fontId="1" fillId="0" borderId="0"/>
    <xf numFmtId="0" fontId="1" fillId="0" borderId="0"/>
    <xf numFmtId="0" fontId="5" fillId="0" borderId="0"/>
  </cellStyleXfs>
  <cellXfs count="26">
    <xf numFmtId="0" fontId="0" fillId="0" borderId="0" xfId="0"/>
    <xf numFmtId="0" fontId="2" fillId="0" borderId="0" xfId="0" applyFont="1"/>
    <xf numFmtId="0" fontId="4" fillId="0" borderId="0" xfId="4">
      <alignment vertical="center"/>
    </xf>
    <xf numFmtId="0" fontId="6" fillId="0" borderId="0" xfId="4" applyFont="1">
      <alignment vertical="center"/>
    </xf>
    <xf numFmtId="0" fontId="7" fillId="0" borderId="0" xfId="4" applyFont="1" applyAlignment="1">
      <alignment horizontal="center" vertical="center"/>
    </xf>
    <xf numFmtId="0" fontId="7" fillId="0" borderId="0" xfId="4" applyFont="1">
      <alignment vertical="center"/>
    </xf>
    <xf numFmtId="2" fontId="6" fillId="0" borderId="0" xfId="4" applyNumberFormat="1" applyFont="1" applyAlignment="1">
      <alignment horizontal="center" vertical="center"/>
    </xf>
    <xf numFmtId="0" fontId="6" fillId="0" borderId="0" xfId="4" applyFont="1" applyAlignment="1">
      <alignment horizontal="center" vertical="center"/>
    </xf>
    <xf numFmtId="0" fontId="4" fillId="2" borderId="0" xfId="4" applyFill="1">
      <alignment vertical="center"/>
    </xf>
    <xf numFmtId="0" fontId="4" fillId="3" borderId="0" xfId="4" applyFill="1">
      <alignment vertical="center"/>
    </xf>
    <xf numFmtId="0" fontId="0" fillId="0" borderId="0" xfId="0" applyAlignment="1">
      <alignment vertical="center"/>
    </xf>
    <xf numFmtId="0" fontId="9" fillId="0" borderId="0" xfId="4" applyFont="1" applyAlignment="1">
      <alignment vertical="center"/>
    </xf>
    <xf numFmtId="0" fontId="9" fillId="0" borderId="0" xfId="4" applyFont="1">
      <alignment vertical="center"/>
    </xf>
    <xf numFmtId="0" fontId="9" fillId="2" borderId="0" xfId="4" applyFont="1" applyFill="1">
      <alignment vertical="center"/>
    </xf>
    <xf numFmtId="0" fontId="4" fillId="4" borderId="0" xfId="4" applyFill="1">
      <alignment vertical="center"/>
    </xf>
    <xf numFmtId="0" fontId="9" fillId="0" borderId="0" xfId="4" applyFont="1" applyAlignment="1">
      <alignment horizontal="center" vertical="center"/>
    </xf>
    <xf numFmtId="0" fontId="9" fillId="0" borderId="0" xfId="4" applyFont="1" applyAlignment="1">
      <alignment horizontal="left" vertical="center"/>
    </xf>
    <xf numFmtId="0" fontId="9" fillId="4" borderId="0" xfId="4" applyFont="1" applyFill="1" applyAlignment="1">
      <alignment horizontal="center" vertical="center"/>
    </xf>
    <xf numFmtId="0" fontId="9" fillId="0" borderId="0" xfId="4" applyFont="1" applyFill="1" applyAlignment="1">
      <alignment horizontal="center" vertical="center"/>
    </xf>
    <xf numFmtId="0" fontId="9" fillId="0" borderId="0" xfId="4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4" applyFont="1" applyAlignment="1">
      <alignment horizontal="right" vertical="center"/>
    </xf>
    <xf numFmtId="0" fontId="9" fillId="0" borderId="0" xfId="4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9" fillId="3" borderId="0" xfId="4" applyFont="1" applyFill="1" applyAlignment="1">
      <alignment horizontal="center" vertical="center"/>
    </xf>
    <xf numFmtId="0" fontId="10" fillId="0" borderId="0" xfId="0" applyFont="1" applyAlignment="1">
      <alignment horizontal="right" vertical="center"/>
    </xf>
  </cellXfs>
  <cellStyles count="8">
    <cellStyle name="Comma 2" xfId="3" xr:uid="{00000000-0005-0000-0000-000000000000}"/>
    <cellStyle name="Currency 2" xfId="2" xr:uid="{00000000-0005-0000-0000-000001000000}"/>
    <cellStyle name="Normal 2" xfId="1" xr:uid="{00000000-0005-0000-0000-000003000000}"/>
    <cellStyle name="Normal 2 2" xfId="6" xr:uid="{00000000-0005-0000-0000-000004000000}"/>
    <cellStyle name="Normal 3" xfId="4" xr:uid="{00000000-0005-0000-0000-000005000000}"/>
    <cellStyle name="Normal 4" xfId="5" xr:uid="{00000000-0005-0000-0000-000006000000}"/>
    <cellStyle name="Normal 5" xfId="7" xr:uid="{00000000-0005-0000-0000-000007000000}"/>
    <cellStyle name="常规" xfId="0" builtinId="0"/>
  </cellStyles>
  <dxfs count="0"/>
  <tableStyles count="0" defaultTableStyle="TableStyleMedium9" defaultPivotStyle="PivotStyleLight16"/>
  <colors>
    <mruColors>
      <color rgb="FF9999FF"/>
      <color rgb="FF99FFCC"/>
      <color rgb="FFCCFFCC"/>
      <color rgb="FFFFFFCC"/>
      <color rgb="FFFFFF99"/>
      <color rgb="FFFFCC99"/>
      <color rgb="FFCC3300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EBF9E-E66F-47D6-86B2-BF211CA9E044}">
  <dimension ref="A1:F21"/>
  <sheetViews>
    <sheetView workbookViewId="0">
      <selection activeCell="B12" sqref="B12"/>
    </sheetView>
  </sheetViews>
  <sheetFormatPr defaultColWidth="9.33203125" defaultRowHeight="14.4"/>
  <cols>
    <col min="1" max="1" width="9.33203125" style="2"/>
    <col min="2" max="2" width="35.5546875" style="2" customWidth="1"/>
    <col min="3" max="3" width="13.33203125" style="2" customWidth="1"/>
    <col min="4" max="4" width="12.33203125" style="2" customWidth="1"/>
    <col min="5" max="16384" width="9.33203125" style="2"/>
  </cols>
  <sheetData>
    <row r="1" spans="1:6" ht="17.399999999999999">
      <c r="A1" s="1" t="s">
        <v>0</v>
      </c>
    </row>
    <row r="2" spans="1:6">
      <c r="A2" s="3"/>
      <c r="B2" s="3"/>
      <c r="C2" s="4" t="s">
        <v>1</v>
      </c>
      <c r="D2" s="4" t="s">
        <v>2</v>
      </c>
    </row>
    <row r="3" spans="1:6">
      <c r="A3" s="3"/>
      <c r="B3" s="5" t="s">
        <v>3</v>
      </c>
      <c r="C3" s="6">
        <v>0.8</v>
      </c>
      <c r="D3" s="6">
        <v>0.6</v>
      </c>
    </row>
    <row r="4" spans="1:6">
      <c r="A4" s="3"/>
      <c r="B4" s="5" t="s">
        <v>4</v>
      </c>
      <c r="C4" s="7">
        <v>1.75</v>
      </c>
      <c r="D4" s="7">
        <v>1.75</v>
      </c>
    </row>
    <row r="5" spans="1:6">
      <c r="A5" s="3"/>
      <c r="B5" s="5" t="s">
        <v>5</v>
      </c>
      <c r="C5" s="7">
        <v>5000</v>
      </c>
      <c r="D5" s="7">
        <v>4000</v>
      </c>
    </row>
    <row r="6" spans="1:6">
      <c r="A6" s="3"/>
      <c r="B6" s="5" t="s">
        <v>6</v>
      </c>
      <c r="C6" s="7">
        <v>3</v>
      </c>
      <c r="D6" s="7">
        <v>5</v>
      </c>
    </row>
    <row r="7" spans="1:6">
      <c r="A7" s="3"/>
      <c r="B7" s="5" t="s">
        <v>7</v>
      </c>
      <c r="C7" s="7">
        <v>16000</v>
      </c>
      <c r="D7" s="7"/>
    </row>
    <row r="8" spans="1:6">
      <c r="B8" s="5" t="s">
        <v>14</v>
      </c>
      <c r="C8" s="2">
        <f>C3*(C5+C9)</f>
        <v>23327.200000000001</v>
      </c>
      <c r="D8" s="2">
        <f>D3*(D5+D9)</f>
        <v>26241</v>
      </c>
    </row>
    <row r="9" spans="1:6">
      <c r="B9" s="5" t="s">
        <v>12</v>
      </c>
      <c r="C9" s="2">
        <f>C6*C10</f>
        <v>24159</v>
      </c>
      <c r="D9" s="2">
        <f>D6*D10</f>
        <v>39735</v>
      </c>
    </row>
    <row r="10" spans="1:6">
      <c r="B10" s="5" t="s">
        <v>8</v>
      </c>
      <c r="C10" s="8">
        <v>8053</v>
      </c>
      <c r="D10" s="8">
        <v>7947</v>
      </c>
    </row>
    <row r="11" spans="1:6">
      <c r="B11" s="5" t="s">
        <v>10</v>
      </c>
      <c r="C11" s="2">
        <f>C10+D10</f>
        <v>16000</v>
      </c>
    </row>
    <row r="12" spans="1:6">
      <c r="B12" s="5" t="s">
        <v>13</v>
      </c>
      <c r="C12" s="2">
        <f>(C5+C9)*C4+(D5+D9)*D4</f>
        <v>127564.5</v>
      </c>
    </row>
    <row r="13" spans="1:6">
      <c r="B13" s="5" t="s">
        <v>15</v>
      </c>
      <c r="C13" s="2">
        <f>C8+D8</f>
        <v>49568.2</v>
      </c>
    </row>
    <row r="14" spans="1:6">
      <c r="B14" s="5" t="s">
        <v>11</v>
      </c>
      <c r="C14" s="2">
        <f>C5+D5+C9+D9</f>
        <v>72894</v>
      </c>
      <c r="F14" s="5"/>
    </row>
    <row r="17" spans="2:3">
      <c r="B17" s="5" t="s">
        <v>9</v>
      </c>
      <c r="C17" s="9">
        <f>C12-C13-C11</f>
        <v>61996.3</v>
      </c>
    </row>
    <row r="19" spans="2:3">
      <c r="B19" s="5" t="s">
        <v>17</v>
      </c>
      <c r="C19" s="2">
        <f>0.6*C14</f>
        <v>43736.4</v>
      </c>
    </row>
    <row r="20" spans="2:3">
      <c r="B20" s="5" t="s">
        <v>16</v>
      </c>
      <c r="C20" s="2">
        <f>D5+D9</f>
        <v>43735</v>
      </c>
    </row>
    <row r="21" spans="2:3">
      <c r="B21" s="5" t="s">
        <v>18</v>
      </c>
      <c r="C21" s="2">
        <f>0.2*C14</f>
        <v>14578.800000000001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BFE52-41DF-4ABB-9AD4-027AA7397D00}">
  <dimension ref="A1:N24"/>
  <sheetViews>
    <sheetView tabSelected="1" zoomScale="85" zoomScaleNormal="85" workbookViewId="0">
      <selection activeCell="G22" sqref="G22"/>
    </sheetView>
  </sheetViews>
  <sheetFormatPr defaultColWidth="9.33203125" defaultRowHeight="14.4"/>
  <cols>
    <col min="1" max="1" width="15.44140625" style="2" customWidth="1"/>
    <col min="2" max="2" width="26.21875" style="2" customWidth="1"/>
    <col min="3" max="3" width="20.88671875" style="2" customWidth="1"/>
    <col min="4" max="4" width="18.5546875" style="2" customWidth="1"/>
    <col min="5" max="5" width="20.44140625" style="2" customWidth="1"/>
    <col min="6" max="6" width="18.6640625" style="2" customWidth="1"/>
    <col min="7" max="7" width="27" style="2" customWidth="1"/>
    <col min="8" max="8" width="24.33203125" style="2" customWidth="1"/>
    <col min="9" max="9" width="25.88671875" style="2" customWidth="1"/>
    <col min="10" max="10" width="17.109375" style="2" customWidth="1"/>
    <col min="11" max="11" width="21.44140625" style="2" customWidth="1"/>
    <col min="12" max="12" width="16.5546875" style="2" customWidth="1"/>
    <col min="13" max="13" width="14.21875" style="2" customWidth="1"/>
    <col min="14" max="14" width="14.109375" style="2" customWidth="1"/>
    <col min="15" max="16384" width="9.33203125" style="2"/>
  </cols>
  <sheetData>
    <row r="1" spans="1:14" ht="17.399999999999999">
      <c r="A1" s="1" t="s">
        <v>25</v>
      </c>
    </row>
    <row r="3" spans="1:14">
      <c r="C3" s="11" t="s">
        <v>27</v>
      </c>
      <c r="D3" s="10"/>
      <c r="E3" s="10"/>
    </row>
    <row r="4" spans="1:14">
      <c r="C4" s="15" t="s">
        <v>26</v>
      </c>
      <c r="D4" s="15" t="s">
        <v>28</v>
      </c>
      <c r="E4" s="15" t="s">
        <v>29</v>
      </c>
      <c r="G4" s="15" t="s">
        <v>29</v>
      </c>
      <c r="H4" s="15" t="s">
        <v>31</v>
      </c>
      <c r="I4" s="15" t="s">
        <v>32</v>
      </c>
      <c r="J4" s="15" t="s">
        <v>33</v>
      </c>
      <c r="K4" s="15" t="s">
        <v>34</v>
      </c>
      <c r="L4" s="15" t="s">
        <v>35</v>
      </c>
      <c r="M4" s="15" t="s">
        <v>36</v>
      </c>
      <c r="N4" s="15" t="s">
        <v>37</v>
      </c>
    </row>
    <row r="5" spans="1:14">
      <c r="A5" s="11" t="s">
        <v>19</v>
      </c>
      <c r="B5" s="16" t="s">
        <v>21</v>
      </c>
      <c r="C5" s="13"/>
      <c r="D5" s="8"/>
      <c r="E5" s="14"/>
      <c r="F5" s="12" t="s">
        <v>30</v>
      </c>
      <c r="G5" s="17">
        <v>60000</v>
      </c>
      <c r="H5" s="18">
        <v>60000</v>
      </c>
      <c r="I5" s="18">
        <v>66</v>
      </c>
      <c r="J5" s="17">
        <v>0</v>
      </c>
      <c r="K5" s="17">
        <v>0</v>
      </c>
      <c r="L5" s="18">
        <v>120</v>
      </c>
      <c r="M5" s="17">
        <v>0</v>
      </c>
      <c r="N5" s="17">
        <v>0</v>
      </c>
    </row>
    <row r="6" spans="1:14">
      <c r="A6" s="10"/>
      <c r="B6" s="16" t="s">
        <v>22</v>
      </c>
      <c r="C6" s="8"/>
      <c r="D6" s="8"/>
      <c r="E6" s="14"/>
      <c r="F6" s="12" t="s">
        <v>30</v>
      </c>
      <c r="G6" s="17">
        <v>20000</v>
      </c>
      <c r="H6" s="18">
        <v>20000</v>
      </c>
      <c r="I6" s="18">
        <v>85</v>
      </c>
      <c r="J6" s="17">
        <v>0</v>
      </c>
      <c r="K6" s="17">
        <v>0</v>
      </c>
      <c r="L6" s="18">
        <v>150</v>
      </c>
      <c r="M6" s="17">
        <v>0</v>
      </c>
      <c r="N6" s="17">
        <v>0</v>
      </c>
    </row>
    <row r="7" spans="1:14">
      <c r="A7" s="11" t="s">
        <v>20</v>
      </c>
      <c r="B7" s="16" t="s">
        <v>23</v>
      </c>
      <c r="C7" s="8"/>
      <c r="D7" s="8"/>
      <c r="E7" s="14"/>
      <c r="F7" s="12" t="s">
        <v>30</v>
      </c>
      <c r="G7" s="17">
        <v>100000</v>
      </c>
      <c r="H7" s="18">
        <v>100000</v>
      </c>
      <c r="I7" s="18">
        <v>50</v>
      </c>
      <c r="J7" s="17">
        <v>0</v>
      </c>
      <c r="K7" s="17">
        <v>0</v>
      </c>
      <c r="L7" s="18">
        <v>100</v>
      </c>
      <c r="M7" s="17">
        <v>0</v>
      </c>
      <c r="N7" s="17">
        <v>0</v>
      </c>
    </row>
    <row r="8" spans="1:14">
      <c r="A8" s="10"/>
      <c r="B8" s="16" t="s">
        <v>24</v>
      </c>
      <c r="C8" s="8"/>
      <c r="D8" s="8"/>
      <c r="E8" s="14"/>
      <c r="F8" s="12" t="s">
        <v>30</v>
      </c>
      <c r="G8" s="17">
        <v>35000</v>
      </c>
      <c r="H8" s="18">
        <v>35000</v>
      </c>
      <c r="I8" s="18">
        <v>80</v>
      </c>
      <c r="J8" s="17">
        <v>0</v>
      </c>
      <c r="K8" s="17">
        <v>0</v>
      </c>
      <c r="L8" s="18">
        <v>160</v>
      </c>
      <c r="M8" s="17">
        <v>0</v>
      </c>
      <c r="N8" s="17">
        <v>0</v>
      </c>
    </row>
    <row r="10" spans="1:14">
      <c r="C10" s="19" t="s">
        <v>19</v>
      </c>
      <c r="D10" s="20"/>
      <c r="M10" s="15" t="s">
        <v>47</v>
      </c>
      <c r="N10" s="24">
        <v>0</v>
      </c>
    </row>
    <row r="11" spans="1:14">
      <c r="C11" s="15" t="s">
        <v>26</v>
      </c>
      <c r="D11" s="15" t="s">
        <v>28</v>
      </c>
      <c r="G11" s="15" t="s">
        <v>48</v>
      </c>
      <c r="H11" s="15" t="s">
        <v>50</v>
      </c>
      <c r="I11" s="15" t="s">
        <v>51</v>
      </c>
      <c r="K11" s="15" t="s">
        <v>52</v>
      </c>
    </row>
    <row r="12" spans="1:14">
      <c r="B12" s="21" t="s">
        <v>39</v>
      </c>
      <c r="C12" s="17">
        <v>0</v>
      </c>
      <c r="D12" s="17">
        <v>0</v>
      </c>
      <c r="F12" s="15" t="s">
        <v>49</v>
      </c>
      <c r="G12" s="17">
        <v>0</v>
      </c>
      <c r="H12" s="18">
        <v>0.12</v>
      </c>
      <c r="I12" s="8"/>
      <c r="J12" s="15" t="s">
        <v>38</v>
      </c>
      <c r="K12" s="18">
        <v>10000</v>
      </c>
    </row>
    <row r="13" spans="1:14">
      <c r="C13" s="15" t="s">
        <v>38</v>
      </c>
      <c r="D13" s="15" t="s">
        <v>38</v>
      </c>
      <c r="F13" s="15" t="s">
        <v>22</v>
      </c>
      <c r="G13" s="17">
        <v>0</v>
      </c>
      <c r="H13" s="18">
        <v>0.1</v>
      </c>
      <c r="I13" s="8"/>
      <c r="J13" s="15" t="s">
        <v>38</v>
      </c>
      <c r="K13" s="18">
        <v>10000</v>
      </c>
    </row>
    <row r="14" spans="1:14">
      <c r="A14" s="22" t="s">
        <v>40</v>
      </c>
      <c r="B14" s="23"/>
      <c r="C14" s="15">
        <v>100000</v>
      </c>
      <c r="D14" s="15">
        <v>25000</v>
      </c>
      <c r="F14" s="15" t="s">
        <v>23</v>
      </c>
      <c r="G14" s="17">
        <v>0</v>
      </c>
      <c r="H14" s="18">
        <v>0.08</v>
      </c>
      <c r="I14" s="8"/>
      <c r="J14" s="15" t="s">
        <v>38</v>
      </c>
      <c r="K14" s="18">
        <v>10000</v>
      </c>
    </row>
    <row r="15" spans="1:14">
      <c r="A15" s="22" t="s">
        <v>41</v>
      </c>
      <c r="B15" s="23"/>
      <c r="C15" s="15">
        <v>16</v>
      </c>
      <c r="D15" s="15">
        <v>18</v>
      </c>
      <c r="F15" s="15" t="s">
        <v>24</v>
      </c>
      <c r="G15" s="17">
        <v>0</v>
      </c>
      <c r="H15" s="18">
        <v>0.15</v>
      </c>
      <c r="I15" s="8"/>
      <c r="J15" s="15" t="s">
        <v>38</v>
      </c>
      <c r="K15" s="18">
        <v>10000</v>
      </c>
    </row>
    <row r="16" spans="1:14">
      <c r="B16" s="21" t="s">
        <v>42</v>
      </c>
      <c r="C16" s="17">
        <v>0</v>
      </c>
      <c r="D16" s="17">
        <v>0</v>
      </c>
    </row>
    <row r="17" spans="1:9">
      <c r="G17" s="22" t="s">
        <v>54</v>
      </c>
      <c r="H17" s="25"/>
      <c r="I17" s="17">
        <v>0</v>
      </c>
    </row>
    <row r="18" spans="1:9">
      <c r="C18" s="19" t="s">
        <v>20</v>
      </c>
      <c r="D18" s="20"/>
      <c r="I18" s="15" t="s">
        <v>38</v>
      </c>
    </row>
    <row r="19" spans="1:9">
      <c r="C19" s="15" t="s">
        <v>26</v>
      </c>
      <c r="D19" s="15" t="s">
        <v>28</v>
      </c>
      <c r="H19" s="15" t="s">
        <v>53</v>
      </c>
      <c r="I19" s="15">
        <v>18000</v>
      </c>
    </row>
    <row r="20" spans="1:9">
      <c r="B20" s="21" t="s">
        <v>43</v>
      </c>
      <c r="C20" s="17">
        <v>0</v>
      </c>
      <c r="D20" s="17">
        <v>0</v>
      </c>
    </row>
    <row r="21" spans="1:9">
      <c r="C21" s="15" t="s">
        <v>38</v>
      </c>
      <c r="D21" s="15" t="s">
        <v>38</v>
      </c>
    </row>
    <row r="22" spans="1:9">
      <c r="A22" s="22" t="s">
        <v>44</v>
      </c>
      <c r="B22" s="23"/>
      <c r="C22" s="15">
        <v>90000</v>
      </c>
      <c r="D22" s="15">
        <v>24000</v>
      </c>
    </row>
    <row r="23" spans="1:9">
      <c r="A23" s="22" t="s">
        <v>45</v>
      </c>
      <c r="B23" s="23"/>
      <c r="C23" s="15">
        <v>12</v>
      </c>
      <c r="D23" s="15">
        <v>15</v>
      </c>
    </row>
    <row r="24" spans="1:9">
      <c r="B24" s="21" t="s">
        <v>46</v>
      </c>
      <c r="C24" s="17">
        <v>0</v>
      </c>
      <c r="D24" s="17">
        <v>0</v>
      </c>
    </row>
  </sheetData>
  <mergeCells count="10">
    <mergeCell ref="G17:H17"/>
    <mergeCell ref="A14:B14"/>
    <mergeCell ref="A15:B15"/>
    <mergeCell ref="C18:D18"/>
    <mergeCell ref="A22:B22"/>
    <mergeCell ref="A23:B23"/>
    <mergeCell ref="A5:A6"/>
    <mergeCell ref="A7:A8"/>
    <mergeCell ref="C3:E3"/>
    <mergeCell ref="C10:D10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Apples</vt:lpstr>
      <vt:lpstr>LightsProduction</vt:lpstr>
    </vt:vector>
  </TitlesOfParts>
  <Company>University of Nottingham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Landa-Silva</dc:creator>
  <cp:lastModifiedBy>毅 吴</cp:lastModifiedBy>
  <dcterms:created xsi:type="dcterms:W3CDTF">2007-10-21T20:35:33Z</dcterms:created>
  <dcterms:modified xsi:type="dcterms:W3CDTF">2025-10-14T08:41:17Z</dcterms:modified>
</cp:coreProperties>
</file>