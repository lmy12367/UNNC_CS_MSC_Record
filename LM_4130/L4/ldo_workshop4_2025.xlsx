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206\Desktop\"/>
    </mc:Choice>
  </mc:AlternateContent>
  <xr:revisionPtr revIDLastSave="0" documentId="13_ncr:1_{25C20DB7-CBCF-40E1-84CB-5777E729137C}" xr6:coauthVersionLast="47" xr6:coauthVersionMax="47" xr10:uidLastSave="{00000000-0000-0000-0000-000000000000}"/>
  <bookViews>
    <workbookView xWindow="-110" yWindow="-110" windowWidth="25820" windowHeight="13900" tabRatio="851" xr2:uid="{00000000-000D-0000-FFFF-FFFF00000000}"/>
  </bookViews>
  <sheets>
    <sheet name="Sheet5 (2)" sheetId="63" r:id="rId1"/>
    <sheet name="LightsProduction (2)" sheetId="54" r:id="rId2"/>
    <sheet name="Sheet5" sheetId="58" r:id="rId3"/>
    <sheet name="运算结果报告 1" sheetId="55" r:id="rId4"/>
    <sheet name="敏感性报告 1" sheetId="56" r:id="rId5"/>
    <sheet name="极限值报告 1" sheetId="57" r:id="rId6"/>
    <sheet name="LightsProduction" sheetId="53" r:id="rId7"/>
  </sheets>
  <definedNames>
    <definedName name="sencount" hidden="1">2</definedName>
    <definedName name="solver_adj" localSheetId="6" hidden="1">LightsProduction!$I$12:$I$15,LightsProduction!$C$5:$D$8</definedName>
    <definedName name="solver_adj" localSheetId="1" hidden="1">'LightsProduction (2)'!$I$12:$I$15,'LightsProduction (2)'!$C$5:$D$8</definedName>
    <definedName name="solver_adj" localSheetId="2" hidden="1">Sheet5!$B$3:$B$6</definedName>
    <definedName name="solver_adj" localSheetId="0" hidden="1">'Sheet5 (2)'!$B$3:$B$6</definedName>
    <definedName name="solver_cvg" localSheetId="6" hidden="1">0.0001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6" hidden="1">1</definedName>
    <definedName name="solver_drv" localSheetId="1" hidden="1">1</definedName>
    <definedName name="solver_drv" localSheetId="2" hidden="1">1</definedName>
    <definedName name="solver_drv" localSheetId="0" hidden="1">1</definedName>
    <definedName name="solver_eng" localSheetId="6" hidden="1">2</definedName>
    <definedName name="solver_eng" localSheetId="1" hidden="1">2</definedName>
    <definedName name="solver_eng" localSheetId="2" hidden="1">2</definedName>
    <definedName name="solver_eng" localSheetId="0" hidden="1">2</definedName>
    <definedName name="solver_est" localSheetId="6" hidden="1">1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6" hidden="1">100</definedName>
    <definedName name="solver_itr" localSheetId="1" hidden="1">100</definedName>
    <definedName name="solver_itr" localSheetId="2" hidden="1">2147483647</definedName>
    <definedName name="solver_itr" localSheetId="0" hidden="1">2147483647</definedName>
    <definedName name="solver_lhs1" localSheetId="6" hidden="1">LightsProduction!$C$12</definedName>
    <definedName name="solver_lhs1" localSheetId="1" hidden="1">'LightsProduction (2)'!$C$12</definedName>
    <definedName name="solver_lhs1" localSheetId="2" hidden="1">Sheet5!$B$10</definedName>
    <definedName name="solver_lhs1" localSheetId="0" hidden="1">'Sheet5 (2)'!$B$10</definedName>
    <definedName name="solver_lhs2" localSheetId="6" hidden="1">LightsProduction!$C$20</definedName>
    <definedName name="solver_lhs2" localSheetId="1" hidden="1">'LightsProduction (2)'!$C$20</definedName>
    <definedName name="solver_lhs2" localSheetId="2" hidden="1">Sheet5!$B$2:$B$5</definedName>
    <definedName name="solver_lhs2" localSheetId="0" hidden="1">'Sheet5 (2)'!$B$2:$B$5</definedName>
    <definedName name="solver_lhs3" localSheetId="6" hidden="1">LightsProduction!$D$12</definedName>
    <definedName name="solver_lhs3" localSheetId="1" hidden="1">'LightsProduction (2)'!$D$12</definedName>
    <definedName name="solver_lhs3" localSheetId="2" hidden="1">Sheet5!$B$5</definedName>
    <definedName name="solver_lhs3" localSheetId="0" hidden="1">'Sheet5 (2)'!$B$5</definedName>
    <definedName name="solver_lhs4" localSheetId="6" hidden="1">LightsProduction!$D$20</definedName>
    <definedName name="solver_lhs4" localSheetId="1" hidden="1">'LightsProduction (2)'!$D$20</definedName>
    <definedName name="solver_lhs4" localSheetId="2" hidden="1">Sheet5!$B$6</definedName>
    <definedName name="solver_lhs4" localSheetId="0" hidden="1">'Sheet5 (2)'!$B$6</definedName>
    <definedName name="solver_lhs5" localSheetId="6" hidden="1">LightsProduction!$E$5:$E$8</definedName>
    <definedName name="solver_lhs5" localSheetId="1" hidden="1">'LightsProduction (2)'!$E$5:$E$8</definedName>
    <definedName name="solver_lhs5" localSheetId="2" hidden="1">Sheet5!$B$7</definedName>
    <definedName name="solver_lhs5" localSheetId="0" hidden="1">'Sheet5 (2)'!$B$7</definedName>
    <definedName name="solver_lhs6" localSheetId="6" hidden="1">LightsProduction!$I$12:$I$15</definedName>
    <definedName name="solver_lhs6" localSheetId="1" hidden="1">'LightsProduction (2)'!$I$12:$I$15</definedName>
    <definedName name="solver_lhs6" localSheetId="2" hidden="1">Sheet5!$B$8</definedName>
    <definedName name="solver_lhs6" localSheetId="0" hidden="1">'Sheet5 (2)'!$B$8</definedName>
    <definedName name="solver_lhs7" localSheetId="6" hidden="1">LightsProduction!$I$17</definedName>
    <definedName name="solver_lhs7" localSheetId="1" hidden="1">'LightsProduction (2)'!$I$17</definedName>
    <definedName name="solver_lhs7" localSheetId="2" hidden="1">Sheet5!$B$9</definedName>
    <definedName name="solver_lhs7" localSheetId="0" hidden="1">'Sheet5 (2)'!$B$9</definedName>
    <definedName name="solver_lin" localSheetId="6" hidden="1">1</definedName>
    <definedName name="solver_lin" localSheetId="1" hidden="1">1</definedName>
    <definedName name="solver_mip" localSheetId="6" hidden="1">2147483647</definedName>
    <definedName name="solver_mip" localSheetId="1" hidden="1">2147483647</definedName>
    <definedName name="solver_mip" localSheetId="2" hidden="1">2147483647</definedName>
    <definedName name="solver_mip" localSheetId="0" hidden="1">2147483647</definedName>
    <definedName name="solver_mni" localSheetId="6" hidden="1">30</definedName>
    <definedName name="solver_mni" localSheetId="1" hidden="1">30</definedName>
    <definedName name="solver_mni" localSheetId="2" hidden="1">30</definedName>
    <definedName name="solver_mni" localSheetId="0" hidden="1">30</definedName>
    <definedName name="solver_mrt" localSheetId="6" hidden="1">0.075</definedName>
    <definedName name="solver_mrt" localSheetId="1" hidden="1">0.075</definedName>
    <definedName name="solver_mrt" localSheetId="2" hidden="1">0.075</definedName>
    <definedName name="solver_mrt" localSheetId="0" hidden="1">0.075</definedName>
    <definedName name="solver_msl" localSheetId="6" hidden="1">2</definedName>
    <definedName name="solver_msl" localSheetId="1" hidden="1">2</definedName>
    <definedName name="solver_msl" localSheetId="2" hidden="1">2</definedName>
    <definedName name="solver_msl" localSheetId="0" hidden="1">2</definedName>
    <definedName name="solver_neg" localSheetId="6" hidden="1">1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6" hidden="1">2147483647</definedName>
    <definedName name="solver_nod" localSheetId="1" hidden="1">2147483647</definedName>
    <definedName name="solver_nod" localSheetId="2" hidden="1">2147483647</definedName>
    <definedName name="solver_nod" localSheetId="0" hidden="1">2147483647</definedName>
    <definedName name="solver_ntri" hidden="1">1000</definedName>
    <definedName name="solver_num" localSheetId="6" hidden="1">7</definedName>
    <definedName name="solver_num" localSheetId="1" hidden="1">7</definedName>
    <definedName name="solver_num" localSheetId="2" hidden="1">7</definedName>
    <definedName name="solver_num" localSheetId="0" hidden="1">7</definedName>
    <definedName name="solver_nwt" localSheetId="6" hidden="1">1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6" hidden="1">LightsProduction!$N$10</definedName>
    <definedName name="solver_opt" localSheetId="1" hidden="1">'LightsProduction (2)'!$N$10</definedName>
    <definedName name="solver_opt" localSheetId="2" hidden="1">Sheet5!$B$11</definedName>
    <definedName name="solver_opt" localSheetId="0" hidden="1">'Sheet5 (2)'!$B$11</definedName>
    <definedName name="solver_pre" localSheetId="6" hidden="1">0.000001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6" hidden="1">1</definedName>
    <definedName name="solver_rbv" localSheetId="1" hidden="1">1</definedName>
    <definedName name="solver_rbv" localSheetId="2" hidden="1">1</definedName>
    <definedName name="solver_rbv" localSheetId="0" hidden="1">1</definedName>
    <definedName name="solver_rel1" localSheetId="6" hidden="1">1</definedName>
    <definedName name="solver_rel1" localSheetId="1" hidden="1">1</definedName>
    <definedName name="solver_rel1" localSheetId="2" hidden="1">1</definedName>
    <definedName name="solver_rel1" localSheetId="0" hidden="1">1</definedName>
    <definedName name="solver_rel2" localSheetId="6" hidden="1">1</definedName>
    <definedName name="solver_rel2" localSheetId="1" hidden="1">1</definedName>
    <definedName name="solver_rel2" localSheetId="2" hidden="1">3</definedName>
    <definedName name="solver_rel2" localSheetId="0" hidden="1">3</definedName>
    <definedName name="solver_rel3" localSheetId="6" hidden="1">1</definedName>
    <definedName name="solver_rel3" localSheetId="1" hidden="1">1</definedName>
    <definedName name="solver_rel3" localSheetId="2" hidden="1">1</definedName>
    <definedName name="solver_rel3" localSheetId="0" hidden="1">1</definedName>
    <definedName name="solver_rel4" localSheetId="6" hidden="1">1</definedName>
    <definedName name="solver_rel4" localSheetId="1" hidden="1">1</definedName>
    <definedName name="solver_rel4" localSheetId="2" hidden="1">4</definedName>
    <definedName name="solver_rel4" localSheetId="0" hidden="1">4</definedName>
    <definedName name="solver_rel5" localSheetId="6" hidden="1">1</definedName>
    <definedName name="solver_rel5" localSheetId="1" hidden="1">1</definedName>
    <definedName name="solver_rel5" localSheetId="2" hidden="1">3</definedName>
    <definedName name="solver_rel5" localSheetId="0" hidden="1">3</definedName>
    <definedName name="solver_rel6" localSheetId="6" hidden="1">1</definedName>
    <definedName name="solver_rel6" localSheetId="1" hidden="1">1</definedName>
    <definedName name="solver_rel6" localSheetId="2" hidden="1">1</definedName>
    <definedName name="solver_rel6" localSheetId="0" hidden="1">1</definedName>
    <definedName name="solver_rel7" localSheetId="6" hidden="1">1</definedName>
    <definedName name="solver_rel7" localSheetId="1" hidden="1">1</definedName>
    <definedName name="solver_rel7" localSheetId="2" hidden="1">1</definedName>
    <definedName name="solver_rel7" localSheetId="0" hidden="1">1</definedName>
    <definedName name="solver_rhs1" localSheetId="6" hidden="1">LightsProduction!$C$14</definedName>
    <definedName name="solver_rhs1" localSheetId="1" hidden="1">'LightsProduction (2)'!$C$14</definedName>
    <definedName name="solver_rhs1" localSheetId="2" hidden="1">Sheet5!$D$10</definedName>
    <definedName name="solver_rhs1" localSheetId="0" hidden="1">'Sheet5 (2)'!$D$10</definedName>
    <definedName name="solver_rhs2" localSheetId="6" hidden="1">LightsProduction!$C$22</definedName>
    <definedName name="solver_rhs2" localSheetId="1" hidden="1">'LightsProduction (2)'!$C$22</definedName>
    <definedName name="solver_rhs2" localSheetId="2" hidden="1">Sheet5!$F$2:$F$5</definedName>
    <definedName name="solver_rhs2" localSheetId="0" hidden="1">'Sheet5 (2)'!$F$2:$F$5</definedName>
    <definedName name="solver_rhs3" localSheetId="6" hidden="1">LightsProduction!$D$14</definedName>
    <definedName name="solver_rhs3" localSheetId="1" hidden="1">'LightsProduction (2)'!$D$14</definedName>
    <definedName name="solver_rhs3" localSheetId="2" hidden="1">Sheet5!$D$5</definedName>
    <definedName name="solver_rhs3" localSheetId="0" hidden="1">'Sheet5 (2)'!$D$5</definedName>
    <definedName name="solver_rhs4" localSheetId="6" hidden="1">LightsProduction!$D$22</definedName>
    <definedName name="solver_rhs4" localSheetId="1" hidden="1">'LightsProduction (2)'!$D$22</definedName>
    <definedName name="solver_rhs4" localSheetId="2" hidden="1">"整数"</definedName>
    <definedName name="solver_rhs4" localSheetId="0" hidden="1">"整数"</definedName>
    <definedName name="solver_rhs5" localSheetId="6" hidden="1">LightsProduction!$G$5:$G$8</definedName>
    <definedName name="solver_rhs5" localSheetId="1" hidden="1">'LightsProduction (2)'!$G$5:$G$8</definedName>
    <definedName name="solver_rhs5" localSheetId="2" hidden="1">Sheet5!$D$7</definedName>
    <definedName name="solver_rhs5" localSheetId="0" hidden="1">'Sheet5 (2)'!$D$7</definedName>
    <definedName name="solver_rhs6" localSheetId="6" hidden="1">LightsProduction!$K$12:$K$15</definedName>
    <definedName name="solver_rhs6" localSheetId="1" hidden="1">'LightsProduction (2)'!$K$12:$K$15</definedName>
    <definedName name="solver_rhs6" localSheetId="2" hidden="1">Sheet5!$D$8</definedName>
    <definedName name="solver_rhs6" localSheetId="0" hidden="1">'Sheet5 (2)'!$D$8</definedName>
    <definedName name="solver_rhs7" localSheetId="6" hidden="1">LightsProduction!$I$19</definedName>
    <definedName name="solver_rhs7" localSheetId="1" hidden="1">'LightsProduction (2)'!$I$19</definedName>
    <definedName name="solver_rhs7" localSheetId="2" hidden="1">Sheet5!$D$9</definedName>
    <definedName name="solver_rhs7" localSheetId="0" hidden="1">'Sheet5 (2)'!$D$9</definedName>
    <definedName name="solver_rlx" localSheetId="6" hidden="1">2</definedName>
    <definedName name="solver_rlx" localSheetId="1" hidden="1">2</definedName>
    <definedName name="solver_rlx" localSheetId="2" hidden="1">2</definedName>
    <definedName name="solver_rlx" localSheetId="0" hidden="1">2</definedName>
    <definedName name="solver_rsd" localSheetId="6" hidden="1">0</definedName>
    <definedName name="solver_rsd" localSheetId="1" hidden="1">0</definedName>
    <definedName name="solver_rsd" localSheetId="2" hidden="1">0</definedName>
    <definedName name="solver_rsd" localSheetId="0" hidden="1">0</definedName>
    <definedName name="solver_rsmp" hidden="1">2</definedName>
    <definedName name="solver_scl" localSheetId="6" hidden="1">2</definedName>
    <definedName name="solver_scl" localSheetId="1" hidden="1">2</definedName>
    <definedName name="solver_scl" localSheetId="2" hidden="1">1</definedName>
    <definedName name="solver_scl" localSheetId="0" hidden="1">1</definedName>
    <definedName name="solver_seed" hidden="1">0</definedName>
    <definedName name="solver_sho" localSheetId="6" hidden="1">2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ho" localSheetId="5" hidden="1">2</definedName>
    <definedName name="solver_ssz" localSheetId="6" hidden="1">100</definedName>
    <definedName name="solver_ssz" localSheetId="1" hidden="1">100</definedName>
    <definedName name="solver_ssz" localSheetId="2" hidden="1">100</definedName>
    <definedName name="solver_ssz" localSheetId="0" hidden="1">100</definedName>
    <definedName name="solver_tim" localSheetId="6" hidden="1">100</definedName>
    <definedName name="solver_tim" localSheetId="1" hidden="1">100</definedName>
    <definedName name="solver_tim" localSheetId="2" hidden="1">2147483647</definedName>
    <definedName name="solver_tim" localSheetId="0" hidden="1">2147483647</definedName>
    <definedName name="solver_tol" localSheetId="6" hidden="1">0.01</definedName>
    <definedName name="solver_tol" localSheetId="1" hidden="1">0.01</definedName>
    <definedName name="solver_tol" localSheetId="2" hidden="1">0.01</definedName>
    <definedName name="solver_tol" localSheetId="0" hidden="1">0.01</definedName>
    <definedName name="solver_typ" localSheetId="6" hidden="1">1</definedName>
    <definedName name="solver_typ" localSheetId="1" hidden="1">1</definedName>
    <definedName name="solver_typ" localSheetId="2" hidden="1">1</definedName>
    <definedName name="solver_typ" localSheetId="0" hidden="1">1</definedName>
    <definedName name="solver_val" localSheetId="6" hidden="1">0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6" hidden="1">3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3" l="1"/>
  <c r="B11" i="63" s="1"/>
  <c r="B2" i="58"/>
  <c r="B7" i="58" s="1"/>
  <c r="B9" i="58"/>
  <c r="D24" i="53"/>
  <c r="C24" i="53"/>
  <c r="D20" i="53"/>
  <c r="C20" i="53"/>
  <c r="I17" i="53"/>
  <c r="D16" i="53"/>
  <c r="C16" i="53"/>
  <c r="G15" i="53"/>
  <c r="G14" i="53"/>
  <c r="G13" i="53"/>
  <c r="G12" i="53"/>
  <c r="D12" i="53"/>
  <c r="C12" i="53"/>
  <c r="N10" i="53"/>
  <c r="N8" i="53"/>
  <c r="M8" i="53"/>
  <c r="K8" i="53"/>
  <c r="J8" i="53"/>
  <c r="G8" i="53"/>
  <c r="E8" i="53"/>
  <c r="N7" i="53"/>
  <c r="M7" i="53"/>
  <c r="K7" i="53"/>
  <c r="J7" i="53"/>
  <c r="G7" i="53"/>
  <c r="E7" i="53"/>
  <c r="N6" i="53"/>
  <c r="M6" i="53"/>
  <c r="K6" i="53"/>
  <c r="J6" i="53"/>
  <c r="G6" i="53"/>
  <c r="E6" i="53"/>
  <c r="N5" i="53"/>
  <c r="M5" i="53"/>
  <c r="K5" i="53"/>
  <c r="J5" i="53"/>
  <c r="G5" i="53"/>
  <c r="E5" i="53"/>
  <c r="B8" i="58"/>
  <c r="D24" i="54"/>
  <c r="C24" i="54"/>
  <c r="D20" i="54"/>
  <c r="C20" i="54"/>
  <c r="I17" i="54"/>
  <c r="D16" i="54"/>
  <c r="C16" i="54"/>
  <c r="G15" i="54"/>
  <c r="G14" i="54"/>
  <c r="G13" i="54"/>
  <c r="G12" i="54"/>
  <c r="D12" i="54"/>
  <c r="C12" i="54"/>
  <c r="N10" i="54"/>
  <c r="N8" i="54"/>
  <c r="M8" i="54"/>
  <c r="K8" i="54"/>
  <c r="J8" i="54"/>
  <c r="G8" i="54"/>
  <c r="E8" i="54"/>
  <c r="N7" i="54"/>
  <c r="M7" i="54"/>
  <c r="K7" i="54"/>
  <c r="J7" i="54"/>
  <c r="G7" i="54"/>
  <c r="E7" i="54"/>
  <c r="N6" i="54"/>
  <c r="M6" i="54"/>
  <c r="K6" i="54"/>
  <c r="J6" i="54"/>
  <c r="G6" i="54"/>
  <c r="E6" i="54"/>
  <c r="N5" i="54"/>
  <c r="M5" i="54"/>
  <c r="K5" i="54"/>
  <c r="J5" i="54"/>
  <c r="G5" i="54"/>
  <c r="E5" i="54"/>
  <c r="B7" i="63" l="1"/>
  <c r="B9" i="63"/>
  <c r="B10" i="63"/>
  <c r="B8" i="63"/>
  <c r="B10" i="58"/>
  <c r="B11" i="58"/>
</calcChain>
</file>

<file path=xl/sharedStrings.xml><?xml version="1.0" encoding="utf-8"?>
<sst xmlns="http://schemas.openxmlformats.org/spreadsheetml/2006/main" count="389" uniqueCount="150">
  <si>
    <t>LIGHTS PRODUCTION Problem</t>
  </si>
  <si>
    <t>Units Produced</t>
  </si>
  <si>
    <t>Regular Time</t>
  </si>
  <si>
    <t>Overtime</t>
  </si>
  <si>
    <t>Total Produced</t>
  </si>
  <si>
    <t>Total Demand</t>
  </si>
  <si>
    <t>Initial Demand</t>
  </si>
  <si>
    <t>Material Cost Per Unit</t>
  </si>
  <si>
    <t>Material Cost</t>
  </si>
  <si>
    <t>Production Cost</t>
  </si>
  <si>
    <t>Selling Price</t>
  </si>
  <si>
    <t>Revenue</t>
  </si>
  <si>
    <t>Net Profit</t>
  </si>
  <si>
    <t>Department 1</t>
  </si>
  <si>
    <t>Table Lamp</t>
  </si>
  <si>
    <t>&lt;=</t>
  </si>
  <si>
    <t>Floor Lamp</t>
  </si>
  <si>
    <t>Department 2</t>
  </si>
  <si>
    <t>Ceiling Fixture</t>
  </si>
  <si>
    <t>Chandelier</t>
  </si>
  <si>
    <t>Total Profit</t>
  </si>
  <si>
    <t>Additional Demand</t>
  </si>
  <si>
    <t>Edvertising Effect</t>
  </si>
  <si>
    <t>Advertising Expenditure</t>
  </si>
  <si>
    <t>Maximum Advertising</t>
  </si>
  <si>
    <t>Units to Produce Dept 1</t>
  </si>
  <si>
    <t>Production Capacity Dept 1</t>
  </si>
  <si>
    <t>Production Cost Per Unit Dept 1</t>
  </si>
  <si>
    <t>Production Cost Dept 1</t>
  </si>
  <si>
    <t>Total Advertising Expenditure</t>
  </si>
  <si>
    <t>Advertising Budget</t>
  </si>
  <si>
    <t>Units to Produce Dept 2</t>
  </si>
  <si>
    <t>Production Capacity Dept 2</t>
  </si>
  <si>
    <t>Production Cost Per Unit Dept 2</t>
  </si>
  <si>
    <t>Production Cost Dept 2</t>
  </si>
  <si>
    <t>结果: 规划求解找到一解，可满足所有的约束及最优状况。</t>
  </si>
  <si>
    <t>规划求解引擎</t>
  </si>
  <si>
    <t>引擎: 单纯线性规划</t>
  </si>
  <si>
    <t>规划求解选项</t>
  </si>
  <si>
    <t>最大子问题数目 无限制, 最大整数解数目 无限制, 整数允许误差 1%, 假设为非负数</t>
  </si>
  <si>
    <t>目标单元格 (最大值)</t>
  </si>
  <si>
    <t>单元格</t>
  </si>
  <si>
    <t>名称</t>
  </si>
  <si>
    <t>初值</t>
  </si>
  <si>
    <t>终值</t>
  </si>
  <si>
    <t>profit</t>
  </si>
  <si>
    <t>可变单元格</t>
  </si>
  <si>
    <t>整数</t>
  </si>
  <si>
    <t>Cattle</t>
  </si>
  <si>
    <t>约束</t>
  </si>
  <si>
    <t>Wheat</t>
  </si>
  <si>
    <t>Corn</t>
  </si>
  <si>
    <t>Tomatoes</t>
  </si>
  <si>
    <t>单元格值</t>
  </si>
  <si>
    <t>公式</t>
  </si>
  <si>
    <t>状态</t>
  </si>
  <si>
    <t>型数值</t>
  </si>
  <si>
    <t>total time</t>
  </si>
  <si>
    <t>到达限制值</t>
  </si>
  <si>
    <t>at least 20%</t>
  </si>
  <si>
    <t>total acres</t>
  </si>
  <si>
    <t>2 to 1.</t>
  </si>
  <si>
    <t>未到限制值</t>
  </si>
  <si>
    <t>Microsoft Excel 16.0 敏感性报告</t>
  </si>
  <si>
    <t>终</t>
  </si>
  <si>
    <t>递减</t>
  </si>
  <si>
    <t>目标式</t>
  </si>
  <si>
    <t>允许的</t>
  </si>
  <si>
    <t>值</t>
  </si>
  <si>
    <t>成本</t>
  </si>
  <si>
    <t>系数</t>
  </si>
  <si>
    <t>增量</t>
  </si>
  <si>
    <t>减量</t>
  </si>
  <si>
    <t>阴影</t>
  </si>
  <si>
    <t>价格</t>
  </si>
  <si>
    <t>限制值</t>
  </si>
  <si>
    <t>Microsoft Excel 16.0 极限值报告</t>
  </si>
  <si>
    <t>变量</t>
  </si>
  <si>
    <t>下限</t>
  </si>
  <si>
    <t>上限</t>
  </si>
  <si>
    <t>极限</t>
  </si>
  <si>
    <t>结果</t>
  </si>
  <si>
    <t>FARMLAND Problem</t>
  </si>
  <si>
    <t>&gt;=</t>
  </si>
  <si>
    <r>
      <rPr>
        <b/>
        <sz val="10"/>
        <rFont val="Arial"/>
        <family val="2"/>
      </rPr>
      <t xml:space="preserve">Microsoft Excel 16.0 </t>
    </r>
    <r>
      <rPr>
        <b/>
        <sz val="10"/>
        <rFont val="微软雅黑"/>
        <family val="2"/>
        <charset val="134"/>
      </rPr>
      <t>运算结果报告</t>
    </r>
  </si>
  <si>
    <t>工作表: [ldo_workshop4_2025.xlsx]LightsProduction</t>
  </si>
  <si>
    <t>报告的建立: 2025/10/21 13:42:27</t>
  </si>
  <si>
    <t>求解时间: 0.14 秒。</t>
  </si>
  <si>
    <t>迭代次数: 7 子问题: 0</t>
  </si>
  <si>
    <t>最大时间 100 秒,  迭代 100, Precision 0.000001</t>
  </si>
  <si>
    <t>$N$10</t>
  </si>
  <si>
    <t>Total Profit Net Profit</t>
  </si>
  <si>
    <t>$I$12</t>
  </si>
  <si>
    <t>Table Lamp Advertising Expenditure</t>
  </si>
  <si>
    <t>$I$13</t>
  </si>
  <si>
    <t>Floor Lamp Advertising Expenditure</t>
  </si>
  <si>
    <t>$I$14</t>
  </si>
  <si>
    <t>Ceiling Fixture Advertising Expenditure</t>
  </si>
  <si>
    <t>$I$15</t>
  </si>
  <si>
    <t>Chandelier Advertising Expenditure</t>
  </si>
  <si>
    <t>$C$5</t>
  </si>
  <si>
    <t>Table Lamp Regular Time</t>
  </si>
  <si>
    <t>$D$5</t>
  </si>
  <si>
    <t>Table Lamp Overtime</t>
  </si>
  <si>
    <t>$C$6</t>
  </si>
  <si>
    <t>Floor Lamp Regular Time</t>
  </si>
  <si>
    <t>$D$6</t>
  </si>
  <si>
    <t>Floor Lamp Overtime</t>
  </si>
  <si>
    <t>$C$7</t>
  </si>
  <si>
    <t>Ceiling Fixture Regular Time</t>
  </si>
  <si>
    <t>$D$7</t>
  </si>
  <si>
    <t>Ceiling Fixture Overtime</t>
  </si>
  <si>
    <t>$C$8</t>
  </si>
  <si>
    <t>Chandelier Regular Time</t>
  </si>
  <si>
    <t>$D$8</t>
  </si>
  <si>
    <t>Chandelier Overtime</t>
  </si>
  <si>
    <t>$C$12</t>
  </si>
  <si>
    <t>Units to Produce Dept 1 Regular Time</t>
  </si>
  <si>
    <t>$C$12&lt;=$C$14</t>
  </si>
  <si>
    <t>$C$20</t>
  </si>
  <si>
    <t>Units to Produce Dept 2 Regular Time</t>
  </si>
  <si>
    <t>$C$20&lt;=$C$22</t>
  </si>
  <si>
    <t>$D$12</t>
  </si>
  <si>
    <t>Units to Produce Dept 1 Overtime</t>
  </si>
  <si>
    <t>$D$12&lt;=$D$14</t>
  </si>
  <si>
    <t>$D$20</t>
  </si>
  <si>
    <t>Units to Produce Dept 2 Overtime</t>
  </si>
  <si>
    <t>$D$20&lt;=$D$22</t>
  </si>
  <si>
    <t>$E$5</t>
  </si>
  <si>
    <t>Table Lamp Total Produced</t>
  </si>
  <si>
    <t>$E$5&lt;=$G$5</t>
  </si>
  <si>
    <t>$E$6</t>
  </si>
  <si>
    <t>Floor Lamp Total Produced</t>
  </si>
  <si>
    <t>$E$6&lt;=$G$6</t>
  </si>
  <si>
    <t>$E$7</t>
  </si>
  <si>
    <t>Ceiling Fixture Total Produced</t>
  </si>
  <si>
    <t>$E$7&lt;=$G$7</t>
  </si>
  <si>
    <t>$E$8</t>
  </si>
  <si>
    <t>Chandelier Total Produced</t>
  </si>
  <si>
    <t>$E$8&lt;=$G$8</t>
  </si>
  <si>
    <t>$I$17</t>
  </si>
  <si>
    <t>Total Advertising Expenditure Advertising Expenditure</t>
  </si>
  <si>
    <t>$I$17&lt;=$I$19</t>
  </si>
  <si>
    <t>$I$12&lt;=$K$12</t>
  </si>
  <si>
    <t>$I$13&lt;=$K$13</t>
  </si>
  <si>
    <t>$I$14&lt;=$K$14</t>
  </si>
  <si>
    <t>$I$15&lt;=$K$15</t>
  </si>
  <si>
    <t>报告的建立: 2025/10/21 13:42:28</t>
  </si>
  <si>
    <t>报告的建立: 2025/10/21 13:42:29</t>
  </si>
  <si>
    <t>head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</si>
</sst>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&quot;$&quot;#,##0.00_);[Red]\(&quot;$&quot;#,##0.00\)"/>
  </numFmts>
  <fonts count="14">
    <font>
      <sz val="10"/>
      <name val="Arial"/>
      <charset val="134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9.9499999999999993"/>
      <color rgb="FF000000"/>
      <name val="CMR10"/>
      <family val="1"/>
    </font>
    <font>
      <sz val="11"/>
      <color theme="1"/>
      <name val="宋体"/>
      <family val="3"/>
      <charset val="134"/>
      <scheme val="minor"/>
    </font>
    <font>
      <sz val="10"/>
      <name val="Geneva"/>
      <family val="1"/>
    </font>
    <font>
      <sz val="10"/>
      <name val="MS Sans Serif"/>
      <family val="1"/>
    </font>
    <font>
      <b/>
      <sz val="10"/>
      <name val="微软雅黑"/>
      <family val="2"/>
      <charset val="134"/>
    </font>
    <font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8">
    <xf numFmtId="0" fontId="0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9" fillId="0" borderId="0"/>
    <xf numFmtId="0" fontId="12" fillId="0" borderId="0"/>
    <xf numFmtId="0" fontId="8" fillId="0" borderId="0">
      <alignment vertical="center"/>
    </xf>
    <xf numFmtId="0" fontId="12" fillId="0" borderId="0"/>
    <xf numFmtId="0" fontId="10" fillId="0" borderId="0"/>
  </cellStyleXfs>
  <cellXfs count="33">
    <xf numFmtId="0" fontId="0" fillId="0" borderId="0" xfId="0"/>
    <xf numFmtId="0" fontId="12" fillId="0" borderId="0" xfId="4"/>
    <xf numFmtId="0" fontId="1" fillId="0" borderId="0" xfId="4" applyFont="1"/>
    <xf numFmtId="0" fontId="2" fillId="0" borderId="0" xfId="4" applyFont="1"/>
    <xf numFmtId="0" fontId="3" fillId="0" borderId="0" xfId="4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3" fillId="0" borderId="0" xfId="4" applyFont="1" applyAlignment="1">
      <alignment horizontal="left" vertical="center"/>
    </xf>
    <xf numFmtId="0" fontId="2" fillId="2" borderId="0" xfId="4" applyFont="1" applyFill="1" applyAlignment="1">
      <alignment horizontal="left"/>
    </xf>
    <xf numFmtId="0" fontId="2" fillId="3" borderId="0" xfId="4" applyFont="1" applyFill="1" applyAlignment="1">
      <alignment horizontal="left"/>
    </xf>
    <xf numFmtId="0" fontId="2" fillId="0" borderId="0" xfId="4" applyFont="1" applyAlignment="1">
      <alignment horizontal="center"/>
    </xf>
    <xf numFmtId="0" fontId="2" fillId="0" borderId="0" xfId="4" applyFont="1" applyAlignment="1">
      <alignment horizontal="left"/>
    </xf>
    <xf numFmtId="0" fontId="3" fillId="0" borderId="0" xfId="4" applyFont="1" applyAlignment="1">
      <alignment horizontal="right" vertical="center"/>
    </xf>
    <xf numFmtId="0" fontId="4" fillId="3" borderId="0" xfId="4" applyFont="1" applyFill="1" applyAlignment="1">
      <alignment horizontal="left"/>
    </xf>
    <xf numFmtId="0" fontId="3" fillId="0" borderId="0" xfId="4" applyFont="1" applyAlignment="1">
      <alignment horizontal="right"/>
    </xf>
    <xf numFmtId="0" fontId="2" fillId="4" borderId="0" xfId="4" applyFont="1" applyFill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6" fillId="0" borderId="5" xfId="0" applyFont="1" applyBorder="1" applyAlignment="1">
      <alignment horizontal="center"/>
    </xf>
    <xf numFmtId="0" fontId="7" fillId="0" borderId="0" xfId="0" applyFont="1"/>
    <xf numFmtId="0" fontId="0" fillId="2" borderId="0" xfId="0" applyFill="1"/>
    <xf numFmtId="0" fontId="0" fillId="5" borderId="0" xfId="0" applyFill="1"/>
    <xf numFmtId="0" fontId="3" fillId="0" borderId="0" xfId="4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4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8">
    <cellStyle name="Comma 2" xfId="1" xr:uid="{00000000-0005-0000-0000-000031000000}"/>
    <cellStyle name="Currency 2" xfId="2" xr:uid="{00000000-0005-0000-0000-000032000000}"/>
    <cellStyle name="Normal 2" xfId="3" xr:uid="{00000000-0005-0000-0000-000033000000}"/>
    <cellStyle name="Normal 2 2" xfId="4" xr:uid="{00000000-0005-0000-0000-000034000000}"/>
    <cellStyle name="Normal 3" xfId="5" xr:uid="{00000000-0005-0000-0000-000035000000}"/>
    <cellStyle name="Normal 4" xfId="6" xr:uid="{00000000-0005-0000-0000-000036000000}"/>
    <cellStyle name="Normal 5" xfId="7" xr:uid="{00000000-0005-0000-0000-000037000000}"/>
    <cellStyle name="常规" xfId="0" builtinId="0"/>
  </cellStyles>
  <dxfs count="0"/>
  <tableStyles count="0" defaultTableStyle="TableStyleMedium9" defaultPivotStyle="PivotStyleLight16"/>
  <colors>
    <mruColors>
      <color rgb="FF99FFCC"/>
      <color rgb="FFFFFF99"/>
      <color rgb="FF9999FF"/>
      <color rgb="FFCCFFCC"/>
      <color rgb="FFFFFFCC"/>
      <color rgb="FFFFCC99"/>
      <color rgb="FFCC33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2679-4551-4D57-B5EB-DE7B92FB50AB}">
  <dimension ref="A1:F11"/>
  <sheetViews>
    <sheetView tabSelected="1" workbookViewId="0">
      <selection activeCell="B10" sqref="B10"/>
    </sheetView>
  </sheetViews>
  <sheetFormatPr defaultColWidth="9" defaultRowHeight="12.5"/>
  <cols>
    <col min="1" max="1" width="17.54296875" customWidth="1"/>
    <col min="2" max="2" width="13.453125" customWidth="1"/>
    <col min="3" max="3" width="3.453125" customWidth="1"/>
    <col min="4" max="4" width="6.26953125" customWidth="1"/>
    <col min="6" max="6" width="2.26953125" customWidth="1"/>
  </cols>
  <sheetData>
    <row r="1" spans="1:6">
      <c r="A1" s="32" t="s">
        <v>82</v>
      </c>
      <c r="B1" s="32"/>
      <c r="C1" s="32"/>
      <c r="D1" s="32"/>
      <c r="E1" s="32"/>
      <c r="F1" s="32"/>
    </row>
    <row r="2" spans="1:6" ht="13">
      <c r="A2" s="21" t="s">
        <v>48</v>
      </c>
      <c r="B2" s="22">
        <f>4*B6</f>
        <v>200</v>
      </c>
      <c r="E2" t="s">
        <v>83</v>
      </c>
      <c r="F2">
        <v>0</v>
      </c>
    </row>
    <row r="3" spans="1:6" ht="13">
      <c r="A3" s="21" t="s">
        <v>50</v>
      </c>
      <c r="B3" s="22">
        <v>0</v>
      </c>
      <c r="E3" t="s">
        <v>83</v>
      </c>
      <c r="F3">
        <v>0</v>
      </c>
    </row>
    <row r="4" spans="1:6" ht="13">
      <c r="A4" s="21" t="s">
        <v>51</v>
      </c>
      <c r="B4" s="22">
        <v>769.23076923076928</v>
      </c>
      <c r="E4" t="s">
        <v>83</v>
      </c>
      <c r="F4">
        <v>0</v>
      </c>
    </row>
    <row r="5" spans="1:6" ht="13">
      <c r="A5" s="21" t="s">
        <v>52</v>
      </c>
      <c r="B5" s="22">
        <v>30.769230769230759</v>
      </c>
      <c r="C5" t="s">
        <v>15</v>
      </c>
      <c r="D5">
        <v>300</v>
      </c>
      <c r="E5" t="s">
        <v>83</v>
      </c>
      <c r="F5">
        <v>0</v>
      </c>
    </row>
    <row r="6" spans="1:6" ht="13">
      <c r="A6" s="21" t="s">
        <v>149</v>
      </c>
      <c r="B6" s="22">
        <v>50</v>
      </c>
    </row>
    <row r="7" spans="1:6">
      <c r="A7" t="s">
        <v>59</v>
      </c>
      <c r="B7">
        <f>0.8*B2-0.2*B3-0.2*B4-0.2*B5</f>
        <v>-2.042810365310288E-14</v>
      </c>
      <c r="C7" t="s">
        <v>83</v>
      </c>
      <c r="D7">
        <v>0</v>
      </c>
    </row>
    <row r="8" spans="1:6">
      <c r="A8" t="s">
        <v>60</v>
      </c>
      <c r="B8">
        <f>SUM(B2:B5)</f>
        <v>1000</v>
      </c>
      <c r="C8" t="s">
        <v>15</v>
      </c>
      <c r="D8">
        <v>1000</v>
      </c>
    </row>
    <row r="9" spans="1:6">
      <c r="A9" t="s">
        <v>61</v>
      </c>
      <c r="B9">
        <f>2*B2+3*B3+2*B4+2*B5</f>
        <v>2000</v>
      </c>
      <c r="C9" t="s">
        <v>15</v>
      </c>
      <c r="D9">
        <v>2000</v>
      </c>
    </row>
    <row r="10" spans="1:6">
      <c r="A10" t="s">
        <v>57</v>
      </c>
      <c r="B10">
        <f>10*B2+10*B3+12*B4+25*B5</f>
        <v>12000</v>
      </c>
      <c r="C10" t="s">
        <v>15</v>
      </c>
      <c r="D10">
        <v>12000</v>
      </c>
    </row>
    <row r="11" spans="1:6">
      <c r="A11" t="s">
        <v>45</v>
      </c>
      <c r="B11" s="23">
        <f>400*B2+250*B3+480*B4+500*B5</f>
        <v>464615.38461538462</v>
      </c>
    </row>
  </sheetData>
  <mergeCells count="1">
    <mergeCell ref="A1:F1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opLeftCell="D1" workbookViewId="0">
      <selection activeCell="G24" sqref="G24"/>
    </sheetView>
  </sheetViews>
  <sheetFormatPr defaultColWidth="9.36328125" defaultRowHeight="12.5"/>
  <cols>
    <col min="1" max="1" width="13.26953125" style="1" customWidth="1"/>
    <col min="2" max="2" width="25.26953125" style="1" customWidth="1"/>
    <col min="3" max="3" width="12.36328125" style="1" customWidth="1"/>
    <col min="4" max="4" width="13.1796875" style="1" customWidth="1"/>
    <col min="5" max="5" width="13.36328125" style="1" customWidth="1"/>
    <col min="6" max="6" width="12.26953125" style="1" customWidth="1"/>
    <col min="7" max="7" width="14.08984375" style="1" customWidth="1"/>
    <col min="8" max="8" width="14.90625" style="1" customWidth="1"/>
    <col min="9" max="9" width="17.7265625" style="1" customWidth="1"/>
    <col min="10" max="10" width="10" style="1" customWidth="1"/>
    <col min="11" max="11" width="19.08984375" style="1" customWidth="1"/>
    <col min="12" max="12" width="11.7265625" style="1" customWidth="1"/>
    <col min="13" max="13" width="11.26953125" style="1" customWidth="1"/>
    <col min="14" max="14" width="10.81640625" style="1" customWidth="1"/>
    <col min="15" max="16384" width="9.36328125" style="1"/>
  </cols>
  <sheetData>
    <row r="1" spans="1:14" ht="18">
      <c r="A1" s="2" t="s">
        <v>0</v>
      </c>
    </row>
    <row r="3" spans="1:14">
      <c r="A3" s="3"/>
      <c r="B3" s="3"/>
      <c r="C3" s="24" t="s">
        <v>1</v>
      </c>
      <c r="D3" s="25"/>
      <c r="E3" s="25"/>
    </row>
    <row r="4" spans="1:14">
      <c r="A4" s="3"/>
      <c r="B4" s="3"/>
      <c r="C4" s="5" t="s">
        <v>2</v>
      </c>
      <c r="D4" s="5" t="s">
        <v>3</v>
      </c>
      <c r="E4" s="5" t="s">
        <v>4</v>
      </c>
      <c r="F4" s="3"/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</row>
    <row r="5" spans="1:14">
      <c r="A5" s="26" t="s">
        <v>13</v>
      </c>
      <c r="B5" s="6" t="s">
        <v>14</v>
      </c>
      <c r="C5" s="7">
        <v>67200.000000011598</v>
      </c>
      <c r="D5" s="7">
        <v>0</v>
      </c>
      <c r="E5" s="8">
        <f>SUM(C5:D5)</f>
        <v>67200.000000011598</v>
      </c>
      <c r="F5" s="9" t="s">
        <v>15</v>
      </c>
      <c r="G5" s="8">
        <f>H5+G12</f>
        <v>67200</v>
      </c>
      <c r="H5" s="10">
        <v>60000</v>
      </c>
      <c r="I5" s="10">
        <v>66</v>
      </c>
      <c r="J5" s="8">
        <f>E5*I5</f>
        <v>4435200.0000007702</v>
      </c>
      <c r="K5" s="8">
        <f>SUMPRODUCT(C15:D15,C5:D5)</f>
        <v>1075200.00000019</v>
      </c>
      <c r="L5" s="10">
        <v>120</v>
      </c>
      <c r="M5" s="8">
        <f>L5*E5</f>
        <v>8064000.0000013998</v>
      </c>
      <c r="N5" s="8">
        <f>M5-(I12+J5+K5)</f>
        <v>2543600.00000044</v>
      </c>
    </row>
    <row r="6" spans="1:14">
      <c r="A6" s="31"/>
      <c r="B6" s="6" t="s">
        <v>16</v>
      </c>
      <c r="C6" s="7">
        <v>20000</v>
      </c>
      <c r="D6" s="7">
        <v>0</v>
      </c>
      <c r="E6" s="8">
        <f t="shared" ref="E6:E8" si="0">SUM(C6:D6)</f>
        <v>20000</v>
      </c>
      <c r="F6" s="9" t="s">
        <v>15</v>
      </c>
      <c r="G6" s="8">
        <f t="shared" ref="G6:G8" si="1">H6+G13</f>
        <v>20000</v>
      </c>
      <c r="H6" s="10">
        <v>20000</v>
      </c>
      <c r="I6" s="10">
        <v>85</v>
      </c>
      <c r="J6" s="8">
        <f t="shared" ref="J6:J8" si="2">E6*I6</f>
        <v>1700000</v>
      </c>
      <c r="K6" s="8">
        <f>SUMPRODUCT(C15:D15,C6:D6)</f>
        <v>320000</v>
      </c>
      <c r="L6" s="10">
        <v>150</v>
      </c>
      <c r="M6" s="8">
        <f t="shared" ref="M6:M8" si="3">L6*E6</f>
        <v>3000000</v>
      </c>
      <c r="N6" s="8">
        <f t="shared" ref="N6:N8" si="4">M6-(I13+J6+K6)</f>
        <v>980000</v>
      </c>
    </row>
    <row r="7" spans="1:14">
      <c r="A7" s="26" t="s">
        <v>17</v>
      </c>
      <c r="B7" s="6" t="s">
        <v>18</v>
      </c>
      <c r="C7" s="7">
        <v>50799.999999988402</v>
      </c>
      <c r="D7" s="7">
        <v>24000</v>
      </c>
      <c r="E7" s="8">
        <f t="shared" si="0"/>
        <v>74799.999999988402</v>
      </c>
      <c r="F7" s="9" t="s">
        <v>15</v>
      </c>
      <c r="G7" s="8">
        <f t="shared" si="1"/>
        <v>100000</v>
      </c>
      <c r="H7" s="10">
        <v>100000</v>
      </c>
      <c r="I7" s="10">
        <v>50</v>
      </c>
      <c r="J7" s="8">
        <f t="shared" si="2"/>
        <v>3739999.9999994198</v>
      </c>
      <c r="K7" s="8">
        <f>SUMPRODUCT(C23:D23,C7:D7)</f>
        <v>969599.99999985995</v>
      </c>
      <c r="L7" s="10">
        <v>100</v>
      </c>
      <c r="M7" s="8">
        <f t="shared" si="3"/>
        <v>7479999.9999988396</v>
      </c>
      <c r="N7" s="8">
        <f t="shared" si="4"/>
        <v>2770399.99999956</v>
      </c>
    </row>
    <row r="8" spans="1:14">
      <c r="A8" s="31"/>
      <c r="B8" s="6" t="s">
        <v>19</v>
      </c>
      <c r="C8" s="7">
        <v>39200.000000011598</v>
      </c>
      <c r="D8" s="7">
        <v>0</v>
      </c>
      <c r="E8" s="8">
        <f t="shared" si="0"/>
        <v>39200.000000011598</v>
      </c>
      <c r="F8" s="9" t="s">
        <v>15</v>
      </c>
      <c r="G8" s="8">
        <f t="shared" si="1"/>
        <v>39200</v>
      </c>
      <c r="H8" s="10">
        <v>35000</v>
      </c>
      <c r="I8" s="10">
        <v>80</v>
      </c>
      <c r="J8" s="8">
        <f t="shared" si="2"/>
        <v>3136000.0000009299</v>
      </c>
      <c r="K8" s="8">
        <f>SUMPRODUCT(C23:D23,C8:D8)</f>
        <v>470400.00000013999</v>
      </c>
      <c r="L8" s="10">
        <v>160</v>
      </c>
      <c r="M8" s="8">
        <f t="shared" si="3"/>
        <v>6272000.0000018599</v>
      </c>
      <c r="N8" s="8">
        <f t="shared" si="4"/>
        <v>2657600.0000007902</v>
      </c>
    </row>
    <row r="10" spans="1:14">
      <c r="C10" s="26" t="s">
        <v>13</v>
      </c>
      <c r="D10" s="27"/>
      <c r="M10" s="5" t="s">
        <v>20</v>
      </c>
      <c r="N10" s="14">
        <f>SUM(N5:N8)</f>
        <v>8951600.0000007898</v>
      </c>
    </row>
    <row r="11" spans="1:14">
      <c r="C11" s="5" t="s">
        <v>2</v>
      </c>
      <c r="D11" s="5" t="s">
        <v>3</v>
      </c>
      <c r="G11" s="4" t="s">
        <v>21</v>
      </c>
      <c r="H11" s="5" t="s">
        <v>22</v>
      </c>
      <c r="I11" s="5" t="s">
        <v>23</v>
      </c>
      <c r="K11" s="5" t="s">
        <v>24</v>
      </c>
    </row>
    <row r="12" spans="1:14">
      <c r="B12" s="11" t="s">
        <v>25</v>
      </c>
      <c r="C12" s="12">
        <f>SUM(C5:C6)</f>
        <v>87200.000000011598</v>
      </c>
      <c r="D12" s="12">
        <f>SUM(D5:D6)</f>
        <v>0</v>
      </c>
      <c r="F12" s="11" t="s">
        <v>14</v>
      </c>
      <c r="G12" s="8">
        <f>H5*(I12/K12)*H12</f>
        <v>7200</v>
      </c>
      <c r="H12" s="10">
        <v>0.12</v>
      </c>
      <c r="I12" s="7">
        <v>10000</v>
      </c>
      <c r="J12" s="9" t="s">
        <v>15</v>
      </c>
      <c r="K12" s="10">
        <v>10000</v>
      </c>
    </row>
    <row r="13" spans="1:14">
      <c r="C13" s="9" t="s">
        <v>15</v>
      </c>
      <c r="D13" s="9" t="s">
        <v>15</v>
      </c>
      <c r="F13" s="11" t="s">
        <v>16</v>
      </c>
      <c r="G13" s="8">
        <f t="shared" ref="G13:G15" si="5">H6*(I13/K13)*H13</f>
        <v>0</v>
      </c>
      <c r="H13" s="10">
        <v>0.1</v>
      </c>
      <c r="I13" s="7">
        <v>0</v>
      </c>
      <c r="J13" s="9" t="s">
        <v>15</v>
      </c>
      <c r="K13" s="10">
        <v>10000</v>
      </c>
    </row>
    <row r="14" spans="1:14">
      <c r="B14" s="11" t="s">
        <v>26</v>
      </c>
      <c r="C14" s="10">
        <v>100000</v>
      </c>
      <c r="D14" s="10">
        <v>25000</v>
      </c>
      <c r="F14" s="11" t="s">
        <v>18</v>
      </c>
      <c r="G14" s="8">
        <f t="shared" si="5"/>
        <v>0</v>
      </c>
      <c r="H14" s="10">
        <v>0.08</v>
      </c>
      <c r="I14" s="7">
        <v>0</v>
      </c>
      <c r="J14" s="9" t="s">
        <v>15</v>
      </c>
      <c r="K14" s="10">
        <v>10000</v>
      </c>
    </row>
    <row r="15" spans="1:14">
      <c r="B15" s="13" t="s">
        <v>27</v>
      </c>
      <c r="C15" s="10">
        <v>16</v>
      </c>
      <c r="D15" s="10">
        <v>18</v>
      </c>
      <c r="F15" s="11" t="s">
        <v>19</v>
      </c>
      <c r="G15" s="8">
        <f t="shared" si="5"/>
        <v>4200</v>
      </c>
      <c r="H15" s="10">
        <v>0.15</v>
      </c>
      <c r="I15" s="7">
        <v>8000</v>
      </c>
      <c r="J15" s="9" t="s">
        <v>15</v>
      </c>
      <c r="K15" s="10">
        <v>10000</v>
      </c>
    </row>
    <row r="16" spans="1:14">
      <c r="B16" s="13" t="s">
        <v>28</v>
      </c>
      <c r="C16" s="8">
        <f>C12*C15</f>
        <v>1395200.00000019</v>
      </c>
      <c r="D16" s="8">
        <f>D12*D15</f>
        <v>0</v>
      </c>
    </row>
    <row r="17" spans="2:9">
      <c r="G17" s="28" t="s">
        <v>29</v>
      </c>
      <c r="H17" s="29"/>
      <c r="I17" s="8">
        <f>SUM(I12:I15)</f>
        <v>18000</v>
      </c>
    </row>
    <row r="18" spans="2:9">
      <c r="C18" s="26" t="s">
        <v>17</v>
      </c>
      <c r="D18" s="30"/>
      <c r="I18" s="9" t="s">
        <v>15</v>
      </c>
    </row>
    <row r="19" spans="2:9">
      <c r="C19" s="5" t="s">
        <v>2</v>
      </c>
      <c r="D19" s="5" t="s">
        <v>3</v>
      </c>
      <c r="H19" s="11" t="s">
        <v>30</v>
      </c>
      <c r="I19" s="10">
        <v>18000</v>
      </c>
    </row>
    <row r="20" spans="2:9">
      <c r="B20" s="11" t="s">
        <v>31</v>
      </c>
      <c r="C20" s="8">
        <f>SUM(C7:C8)</f>
        <v>90000</v>
      </c>
      <c r="D20" s="8">
        <f>SUM(D7:D8)</f>
        <v>24000</v>
      </c>
    </row>
    <row r="21" spans="2:9">
      <c r="C21" s="9" t="s">
        <v>15</v>
      </c>
      <c r="D21" s="9" t="s">
        <v>15</v>
      </c>
    </row>
    <row r="22" spans="2:9">
      <c r="B22" s="11" t="s">
        <v>32</v>
      </c>
      <c r="C22" s="10">
        <v>90000</v>
      </c>
      <c r="D22" s="10">
        <v>24000</v>
      </c>
    </row>
    <row r="23" spans="2:9">
      <c r="B23" s="13" t="s">
        <v>33</v>
      </c>
      <c r="C23" s="10">
        <v>12</v>
      </c>
      <c r="D23" s="10">
        <v>15</v>
      </c>
    </row>
    <row r="24" spans="2:9">
      <c r="B24" s="13" t="s">
        <v>34</v>
      </c>
      <c r="C24" s="8">
        <f>C20*C23</f>
        <v>1080000</v>
      </c>
      <c r="D24" s="8">
        <f>D20*D23</f>
        <v>360000</v>
      </c>
    </row>
  </sheetData>
  <mergeCells count="6">
    <mergeCell ref="C3:E3"/>
    <mergeCell ref="C10:D10"/>
    <mergeCell ref="G17:H17"/>
    <mergeCell ref="C18:D18"/>
    <mergeCell ref="A5:A6"/>
    <mergeCell ref="A7:A8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B6" sqref="B6"/>
    </sheetView>
  </sheetViews>
  <sheetFormatPr defaultColWidth="9" defaultRowHeight="12.5"/>
  <cols>
    <col min="1" max="1" width="17.54296875" customWidth="1"/>
    <col min="2" max="2" width="13.453125" customWidth="1"/>
    <col min="3" max="3" width="3.453125" customWidth="1"/>
    <col min="4" max="4" width="6.26953125" customWidth="1"/>
    <col min="6" max="6" width="2.26953125" customWidth="1"/>
  </cols>
  <sheetData>
    <row r="1" spans="1:6">
      <c r="A1" s="32" t="s">
        <v>82</v>
      </c>
      <c r="B1" s="32"/>
      <c r="C1" s="32"/>
      <c r="D1" s="32"/>
      <c r="E1" s="32"/>
      <c r="F1" s="32"/>
    </row>
    <row r="2" spans="1:6" ht="13">
      <c r="A2" s="21" t="s">
        <v>48</v>
      </c>
      <c r="B2" s="22">
        <f>4*B6</f>
        <v>168</v>
      </c>
      <c r="E2" t="s">
        <v>83</v>
      </c>
      <c r="F2">
        <v>0</v>
      </c>
    </row>
    <row r="3" spans="1:6" ht="13">
      <c r="A3" s="21" t="s">
        <v>50</v>
      </c>
      <c r="B3" s="22">
        <v>0</v>
      </c>
      <c r="E3" t="s">
        <v>83</v>
      </c>
      <c r="F3">
        <v>0</v>
      </c>
    </row>
    <row r="4" spans="1:6" ht="13">
      <c r="A4" s="21" t="s">
        <v>51</v>
      </c>
      <c r="B4" s="22">
        <v>806.15384615384608</v>
      </c>
      <c r="E4" t="s">
        <v>83</v>
      </c>
      <c r="F4">
        <v>0</v>
      </c>
    </row>
    <row r="5" spans="1:6" ht="13">
      <c r="A5" s="21" t="s">
        <v>52</v>
      </c>
      <c r="B5" s="22">
        <v>25.846153846153875</v>
      </c>
      <c r="C5" t="s">
        <v>15</v>
      </c>
      <c r="D5">
        <v>300</v>
      </c>
      <c r="E5" t="s">
        <v>83</v>
      </c>
      <c r="F5">
        <v>0</v>
      </c>
    </row>
    <row r="6" spans="1:6" ht="13">
      <c r="A6" s="21" t="s">
        <v>149</v>
      </c>
      <c r="B6" s="22">
        <v>42</v>
      </c>
    </row>
    <row r="7" spans="1:6">
      <c r="A7" t="s">
        <v>59</v>
      </c>
      <c r="B7">
        <f>B2-0.2*B3-0.2*B4-0.2*B5</f>
        <v>1.5999999999999979</v>
      </c>
      <c r="C7" t="s">
        <v>83</v>
      </c>
      <c r="D7">
        <v>0</v>
      </c>
    </row>
    <row r="8" spans="1:6">
      <c r="A8" t="s">
        <v>60</v>
      </c>
      <c r="B8">
        <f>SUM(B2:B5)</f>
        <v>1000</v>
      </c>
      <c r="C8" t="s">
        <v>15</v>
      </c>
      <c r="D8">
        <v>1000</v>
      </c>
    </row>
    <row r="9" spans="1:6">
      <c r="A9" t="s">
        <v>61</v>
      </c>
      <c r="B9">
        <f>3*B3+2*B4+2*B5</f>
        <v>1664</v>
      </c>
      <c r="C9" t="s">
        <v>15</v>
      </c>
      <c r="D9">
        <v>2000</v>
      </c>
    </row>
    <row r="10" spans="1:6">
      <c r="A10" t="s">
        <v>57</v>
      </c>
      <c r="B10">
        <f>10*B2+10*B3+12*B4+25*B5</f>
        <v>12000</v>
      </c>
      <c r="C10" t="s">
        <v>15</v>
      </c>
      <c r="D10">
        <v>12000</v>
      </c>
    </row>
    <row r="11" spans="1:6">
      <c r="A11" t="s">
        <v>45</v>
      </c>
      <c r="B11" s="23">
        <f>400*B2+250*B3+480*B4+500*B5</f>
        <v>467076.92307692306</v>
      </c>
    </row>
  </sheetData>
  <mergeCells count="1">
    <mergeCell ref="A1:F1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showGridLines="0" topLeftCell="A16" workbookViewId="0">
      <selection activeCell="C49" sqref="C49"/>
    </sheetView>
  </sheetViews>
  <sheetFormatPr defaultColWidth="9" defaultRowHeight="12.5"/>
  <cols>
    <col min="1" max="1" width="2.1796875" customWidth="1"/>
    <col min="2" max="2" width="6.7265625" customWidth="1"/>
    <col min="3" max="3" width="46.36328125" customWidth="1"/>
    <col min="4" max="4" width="8.54296875" customWidth="1"/>
    <col min="5" max="5" width="14.36328125" customWidth="1"/>
    <col min="6" max="6" width="10.36328125" customWidth="1"/>
    <col min="7" max="7" width="6.7265625" customWidth="1"/>
  </cols>
  <sheetData>
    <row r="1" spans="1:5" ht="14.5">
      <c r="A1" s="15" t="s">
        <v>84</v>
      </c>
    </row>
    <row r="2" spans="1:5" ht="13">
      <c r="A2" s="15" t="s">
        <v>85</v>
      </c>
    </row>
    <row r="3" spans="1:5" ht="13">
      <c r="A3" s="15" t="s">
        <v>86</v>
      </c>
    </row>
    <row r="4" spans="1:5" ht="13">
      <c r="A4" s="15" t="s">
        <v>35</v>
      </c>
    </row>
    <row r="5" spans="1:5" ht="13">
      <c r="A5" s="15" t="s">
        <v>36</v>
      </c>
    </row>
    <row r="6" spans="1:5" ht="13">
      <c r="A6" s="15"/>
      <c r="B6" t="s">
        <v>37</v>
      </c>
    </row>
    <row r="7" spans="1:5" ht="13">
      <c r="A7" s="15"/>
      <c r="B7" t="s">
        <v>87</v>
      </c>
    </row>
    <row r="8" spans="1:5" ht="13">
      <c r="A8" s="15"/>
      <c r="B8" t="s">
        <v>88</v>
      </c>
    </row>
    <row r="9" spans="1:5" ht="13">
      <c r="A9" s="15" t="s">
        <v>38</v>
      </c>
    </row>
    <row r="10" spans="1:5">
      <c r="B10" t="s">
        <v>89</v>
      </c>
    </row>
    <row r="11" spans="1:5">
      <c r="B11" t="s">
        <v>39</v>
      </c>
    </row>
    <row r="14" spans="1:5">
      <c r="A14" t="s">
        <v>40</v>
      </c>
    </row>
    <row r="15" spans="1:5" ht="13">
      <c r="B15" s="20" t="s">
        <v>41</v>
      </c>
      <c r="C15" s="20" t="s">
        <v>42</v>
      </c>
      <c r="D15" s="20" t="s">
        <v>43</v>
      </c>
      <c r="E15" s="20" t="s">
        <v>44</v>
      </c>
    </row>
    <row r="16" spans="1:5">
      <c r="B16" s="18" t="s">
        <v>90</v>
      </c>
      <c r="C16" s="18" t="s">
        <v>91</v>
      </c>
      <c r="D16" s="18">
        <v>8951600.0000007898</v>
      </c>
      <c r="E16" s="18">
        <v>8951600.0000007898</v>
      </c>
    </row>
    <row r="19" spans="1:6">
      <c r="A19" t="s">
        <v>46</v>
      </c>
    </row>
    <row r="20" spans="1:6" ht="13">
      <c r="B20" s="20" t="s">
        <v>41</v>
      </c>
      <c r="C20" s="20" t="s">
        <v>42</v>
      </c>
      <c r="D20" s="20" t="s">
        <v>43</v>
      </c>
      <c r="E20" s="20" t="s">
        <v>44</v>
      </c>
      <c r="F20" s="20" t="s">
        <v>47</v>
      </c>
    </row>
    <row r="21" spans="1:6">
      <c r="B21" s="19" t="s">
        <v>92</v>
      </c>
      <c r="C21" s="19" t="s">
        <v>93</v>
      </c>
      <c r="D21" s="19">
        <v>10000</v>
      </c>
      <c r="E21" s="19">
        <v>10000</v>
      </c>
      <c r="F21" s="19" t="s">
        <v>49</v>
      </c>
    </row>
    <row r="22" spans="1:6">
      <c r="B22" s="19" t="s">
        <v>94</v>
      </c>
      <c r="C22" s="19" t="s">
        <v>95</v>
      </c>
      <c r="D22" s="19">
        <v>0</v>
      </c>
      <c r="E22" s="19">
        <v>0</v>
      </c>
      <c r="F22" s="19" t="s">
        <v>49</v>
      </c>
    </row>
    <row r="23" spans="1:6">
      <c r="B23" s="19" t="s">
        <v>96</v>
      </c>
      <c r="C23" s="19" t="s">
        <v>97</v>
      </c>
      <c r="D23" s="19">
        <v>0</v>
      </c>
      <c r="E23" s="19">
        <v>0</v>
      </c>
      <c r="F23" s="19" t="s">
        <v>49</v>
      </c>
    </row>
    <row r="24" spans="1:6">
      <c r="B24" s="19" t="s">
        <v>98</v>
      </c>
      <c r="C24" s="19" t="s">
        <v>99</v>
      </c>
      <c r="D24" s="19">
        <v>8000</v>
      </c>
      <c r="E24" s="19">
        <v>8000</v>
      </c>
      <c r="F24" s="19" t="s">
        <v>49</v>
      </c>
    </row>
    <row r="25" spans="1:6">
      <c r="B25" s="19" t="s">
        <v>100</v>
      </c>
      <c r="C25" s="19" t="s">
        <v>101</v>
      </c>
      <c r="D25" s="19">
        <v>67200.000000011598</v>
      </c>
      <c r="E25" s="19">
        <v>67200.000000011598</v>
      </c>
      <c r="F25" s="19" t="s">
        <v>49</v>
      </c>
    </row>
    <row r="26" spans="1:6">
      <c r="B26" s="19" t="s">
        <v>102</v>
      </c>
      <c r="C26" s="19" t="s">
        <v>103</v>
      </c>
      <c r="D26" s="19">
        <v>0</v>
      </c>
      <c r="E26" s="19">
        <v>0</v>
      </c>
      <c r="F26" s="19" t="s">
        <v>49</v>
      </c>
    </row>
    <row r="27" spans="1:6">
      <c r="B27" s="19" t="s">
        <v>104</v>
      </c>
      <c r="C27" s="19" t="s">
        <v>105</v>
      </c>
      <c r="D27" s="19">
        <v>20000</v>
      </c>
      <c r="E27" s="19">
        <v>20000</v>
      </c>
      <c r="F27" s="19" t="s">
        <v>49</v>
      </c>
    </row>
    <row r="28" spans="1:6">
      <c r="B28" s="19" t="s">
        <v>106</v>
      </c>
      <c r="C28" s="19" t="s">
        <v>107</v>
      </c>
      <c r="D28" s="19">
        <v>0</v>
      </c>
      <c r="E28" s="19">
        <v>0</v>
      </c>
      <c r="F28" s="19" t="s">
        <v>49</v>
      </c>
    </row>
    <row r="29" spans="1:6">
      <c r="B29" s="19" t="s">
        <v>108</v>
      </c>
      <c r="C29" s="19" t="s">
        <v>109</v>
      </c>
      <c r="D29" s="19">
        <v>50799.999999988402</v>
      </c>
      <c r="E29" s="19">
        <v>50799.999999988402</v>
      </c>
      <c r="F29" s="19" t="s">
        <v>49</v>
      </c>
    </row>
    <row r="30" spans="1:6">
      <c r="B30" s="19" t="s">
        <v>110</v>
      </c>
      <c r="C30" s="19" t="s">
        <v>111</v>
      </c>
      <c r="D30" s="19">
        <v>24000</v>
      </c>
      <c r="E30" s="19">
        <v>24000</v>
      </c>
      <c r="F30" s="19" t="s">
        <v>49</v>
      </c>
    </row>
    <row r="31" spans="1:6">
      <c r="B31" s="19" t="s">
        <v>112</v>
      </c>
      <c r="C31" s="19" t="s">
        <v>113</v>
      </c>
      <c r="D31" s="19">
        <v>39200.000000011598</v>
      </c>
      <c r="E31" s="19">
        <v>39200.000000011598</v>
      </c>
      <c r="F31" s="19" t="s">
        <v>49</v>
      </c>
    </row>
    <row r="32" spans="1:6">
      <c r="B32" s="18" t="s">
        <v>114</v>
      </c>
      <c r="C32" s="18" t="s">
        <v>115</v>
      </c>
      <c r="D32" s="18">
        <v>0</v>
      </c>
      <c r="E32" s="18">
        <v>0</v>
      </c>
      <c r="F32" s="18" t="s">
        <v>49</v>
      </c>
    </row>
    <row r="35" spans="1:7">
      <c r="A35" t="s">
        <v>49</v>
      </c>
    </row>
    <row r="36" spans="1:7" ht="13">
      <c r="B36" s="20" t="s">
        <v>41</v>
      </c>
      <c r="C36" s="20" t="s">
        <v>42</v>
      </c>
      <c r="D36" s="20" t="s">
        <v>53</v>
      </c>
      <c r="E36" s="20" t="s">
        <v>54</v>
      </c>
      <c r="F36" s="20" t="s">
        <v>55</v>
      </c>
      <c r="G36" s="20" t="s">
        <v>56</v>
      </c>
    </row>
    <row r="37" spans="1:7">
      <c r="B37" s="19" t="s">
        <v>116</v>
      </c>
      <c r="C37" s="19" t="s">
        <v>117</v>
      </c>
      <c r="D37" s="19">
        <v>87200.000000011598</v>
      </c>
      <c r="E37" s="19" t="s">
        <v>118</v>
      </c>
      <c r="F37" s="19" t="s">
        <v>62</v>
      </c>
      <c r="G37" s="19">
        <v>12799.9999999884</v>
      </c>
    </row>
    <row r="38" spans="1:7">
      <c r="B38" s="19" t="s">
        <v>119</v>
      </c>
      <c r="C38" s="19" t="s">
        <v>120</v>
      </c>
      <c r="D38" s="19">
        <v>90000</v>
      </c>
      <c r="E38" s="19" t="s">
        <v>121</v>
      </c>
      <c r="F38" s="19" t="s">
        <v>58</v>
      </c>
      <c r="G38" s="19">
        <v>0</v>
      </c>
    </row>
    <row r="39" spans="1:7">
      <c r="B39" s="19" t="s">
        <v>122</v>
      </c>
      <c r="C39" s="19" t="s">
        <v>123</v>
      </c>
      <c r="D39" s="19">
        <v>0</v>
      </c>
      <c r="E39" s="19" t="s">
        <v>124</v>
      </c>
      <c r="F39" s="19" t="s">
        <v>62</v>
      </c>
      <c r="G39" s="19">
        <v>25000</v>
      </c>
    </row>
    <row r="40" spans="1:7">
      <c r="B40" s="19" t="s">
        <v>125</v>
      </c>
      <c r="C40" s="19" t="s">
        <v>126</v>
      </c>
      <c r="D40" s="19">
        <v>24000</v>
      </c>
      <c r="E40" s="19" t="s">
        <v>127</v>
      </c>
      <c r="F40" s="19" t="s">
        <v>58</v>
      </c>
      <c r="G40" s="19">
        <v>0</v>
      </c>
    </row>
    <row r="41" spans="1:7">
      <c r="B41" s="19" t="s">
        <v>128</v>
      </c>
      <c r="C41" s="19" t="s">
        <v>129</v>
      </c>
      <c r="D41" s="19">
        <v>67200.000000011598</v>
      </c>
      <c r="E41" s="19" t="s">
        <v>130</v>
      </c>
      <c r="F41" s="19" t="s">
        <v>58</v>
      </c>
      <c r="G41" s="19">
        <v>0</v>
      </c>
    </row>
    <row r="42" spans="1:7">
      <c r="B42" s="19" t="s">
        <v>131</v>
      </c>
      <c r="C42" s="19" t="s">
        <v>132</v>
      </c>
      <c r="D42" s="19">
        <v>20000</v>
      </c>
      <c r="E42" s="19" t="s">
        <v>133</v>
      </c>
      <c r="F42" s="19" t="s">
        <v>58</v>
      </c>
      <c r="G42" s="19">
        <v>0</v>
      </c>
    </row>
    <row r="43" spans="1:7">
      <c r="B43" s="19" t="s">
        <v>134</v>
      </c>
      <c r="C43" s="19" t="s">
        <v>135</v>
      </c>
      <c r="D43" s="19">
        <v>74799.999999988402</v>
      </c>
      <c r="E43" s="19" t="s">
        <v>136</v>
      </c>
      <c r="F43" s="19" t="s">
        <v>62</v>
      </c>
      <c r="G43" s="19">
        <v>25200.000000011602</v>
      </c>
    </row>
    <row r="44" spans="1:7">
      <c r="B44" s="19" t="s">
        <v>137</v>
      </c>
      <c r="C44" s="19" t="s">
        <v>138</v>
      </c>
      <c r="D44" s="19">
        <v>39200.000000011598</v>
      </c>
      <c r="E44" s="19" t="s">
        <v>139</v>
      </c>
      <c r="F44" s="19" t="s">
        <v>58</v>
      </c>
      <c r="G44" s="19">
        <v>0</v>
      </c>
    </row>
    <row r="45" spans="1:7">
      <c r="B45" s="19" t="s">
        <v>140</v>
      </c>
      <c r="C45" s="19" t="s">
        <v>141</v>
      </c>
      <c r="D45" s="19">
        <v>18000</v>
      </c>
      <c r="E45" s="19" t="s">
        <v>142</v>
      </c>
      <c r="F45" s="19" t="s">
        <v>58</v>
      </c>
      <c r="G45" s="19">
        <v>0</v>
      </c>
    </row>
    <row r="46" spans="1:7">
      <c r="B46" s="19" t="s">
        <v>92</v>
      </c>
      <c r="C46" s="19" t="s">
        <v>93</v>
      </c>
      <c r="D46" s="19">
        <v>10000</v>
      </c>
      <c r="E46" s="19" t="s">
        <v>143</v>
      </c>
      <c r="F46" s="19" t="s">
        <v>58</v>
      </c>
      <c r="G46" s="19">
        <v>0</v>
      </c>
    </row>
    <row r="47" spans="1:7">
      <c r="B47" s="19" t="s">
        <v>94</v>
      </c>
      <c r="C47" s="19" t="s">
        <v>95</v>
      </c>
      <c r="D47" s="19">
        <v>0</v>
      </c>
      <c r="E47" s="19" t="s">
        <v>144</v>
      </c>
      <c r="F47" s="19" t="s">
        <v>62</v>
      </c>
      <c r="G47" s="19">
        <v>10000</v>
      </c>
    </row>
    <row r="48" spans="1:7">
      <c r="B48" s="19" t="s">
        <v>96</v>
      </c>
      <c r="C48" s="19" t="s">
        <v>97</v>
      </c>
      <c r="D48" s="19">
        <v>0</v>
      </c>
      <c r="E48" s="19" t="s">
        <v>145</v>
      </c>
      <c r="F48" s="19" t="s">
        <v>62</v>
      </c>
      <c r="G48" s="19">
        <v>10000</v>
      </c>
    </row>
    <row r="49" spans="2:7">
      <c r="B49" s="18" t="s">
        <v>98</v>
      </c>
      <c r="C49" s="18" t="s">
        <v>99</v>
      </c>
      <c r="D49" s="18">
        <v>8000</v>
      </c>
      <c r="E49" s="18" t="s">
        <v>146</v>
      </c>
      <c r="F49" s="18" t="s">
        <v>62</v>
      </c>
      <c r="G49" s="18">
        <v>2000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showGridLines="0" topLeftCell="A6" workbookViewId="0">
      <selection activeCell="E7" sqref="E7"/>
    </sheetView>
  </sheetViews>
  <sheetFormatPr defaultColWidth="9" defaultRowHeight="12.5"/>
  <cols>
    <col min="1" max="1" width="2.1796875" customWidth="1"/>
    <col min="2" max="2" width="6.7265625" customWidth="1"/>
    <col min="3" max="3" width="46.36328125" customWidth="1"/>
    <col min="4" max="4" width="6.26953125" customWidth="1"/>
    <col min="5" max="5" width="6.90625" customWidth="1"/>
    <col min="6" max="6" width="7.26953125" customWidth="1"/>
    <col min="7" max="8" width="12.453125" customWidth="1"/>
  </cols>
  <sheetData>
    <row r="1" spans="1:8" ht="13">
      <c r="A1" s="15" t="s">
        <v>63</v>
      </c>
    </row>
    <row r="2" spans="1:8" ht="13">
      <c r="A2" s="15" t="s">
        <v>85</v>
      </c>
    </row>
    <row r="3" spans="1:8" ht="13">
      <c r="A3" s="15" t="s">
        <v>147</v>
      </c>
    </row>
    <row r="6" spans="1:8">
      <c r="A6" t="s">
        <v>46</v>
      </c>
    </row>
    <row r="7" spans="1:8" ht="13">
      <c r="B7" s="16"/>
      <c r="C7" s="16"/>
      <c r="D7" s="16" t="s">
        <v>64</v>
      </c>
      <c r="E7" s="16" t="s">
        <v>65</v>
      </c>
      <c r="F7" s="16" t="s">
        <v>66</v>
      </c>
      <c r="G7" s="16" t="s">
        <v>67</v>
      </c>
      <c r="H7" s="16" t="s">
        <v>67</v>
      </c>
    </row>
    <row r="8" spans="1:8" ht="13">
      <c r="B8" s="17" t="s">
        <v>41</v>
      </c>
      <c r="C8" s="17" t="s">
        <v>42</v>
      </c>
      <c r="D8" s="17" t="s">
        <v>68</v>
      </c>
      <c r="E8" s="17" t="s">
        <v>69</v>
      </c>
      <c r="F8" s="17" t="s">
        <v>70</v>
      </c>
      <c r="G8" s="17" t="s">
        <v>71</v>
      </c>
      <c r="H8" s="17" t="s">
        <v>72</v>
      </c>
    </row>
    <row r="9" spans="1:8">
      <c r="B9" s="19" t="s">
        <v>92</v>
      </c>
      <c r="C9" s="19" t="s">
        <v>93</v>
      </c>
      <c r="D9" s="19">
        <v>10000</v>
      </c>
      <c r="E9" s="19">
        <v>11.6100000000006</v>
      </c>
      <c r="F9" s="19">
        <v>-1</v>
      </c>
      <c r="G9" s="19">
        <v>1E+30</v>
      </c>
      <c r="H9" s="19">
        <v>11.6100000000006</v>
      </c>
    </row>
    <row r="10" spans="1:8">
      <c r="B10" s="19" t="s">
        <v>94</v>
      </c>
      <c r="C10" s="19" t="s">
        <v>95</v>
      </c>
      <c r="D10" s="19">
        <v>0</v>
      </c>
      <c r="E10" s="19">
        <v>-5.950000000008</v>
      </c>
      <c r="F10" s="19">
        <v>-1</v>
      </c>
      <c r="G10" s="19">
        <v>5.950000000008</v>
      </c>
      <c r="H10" s="19">
        <v>1E+30</v>
      </c>
    </row>
    <row r="11" spans="1:8">
      <c r="B11" s="19" t="s">
        <v>96</v>
      </c>
      <c r="C11" s="19" t="s">
        <v>97</v>
      </c>
      <c r="D11" s="19">
        <v>0</v>
      </c>
      <c r="E11" s="19">
        <v>-15.7500000000437</v>
      </c>
      <c r="F11" s="19">
        <v>-1</v>
      </c>
      <c r="G11" s="19">
        <v>15.7500000000437</v>
      </c>
      <c r="H11" s="19">
        <v>1E+30</v>
      </c>
    </row>
    <row r="12" spans="1:8">
      <c r="B12" s="19" t="s">
        <v>98</v>
      </c>
      <c r="C12" s="19" t="s">
        <v>99</v>
      </c>
      <c r="D12" s="19">
        <v>8000</v>
      </c>
      <c r="E12" s="19">
        <v>0</v>
      </c>
      <c r="F12" s="19">
        <v>-1</v>
      </c>
      <c r="G12" s="19">
        <v>11.6100000000006</v>
      </c>
      <c r="H12" s="19">
        <v>5.950000000008</v>
      </c>
    </row>
    <row r="13" spans="1:8">
      <c r="B13" s="19" t="s">
        <v>100</v>
      </c>
      <c r="C13" s="19" t="s">
        <v>101</v>
      </c>
      <c r="D13" s="19">
        <v>67200.000000011598</v>
      </c>
      <c r="E13" s="19">
        <v>0</v>
      </c>
      <c r="F13" s="19">
        <v>38</v>
      </c>
      <c r="G13" s="19">
        <v>1E+30</v>
      </c>
      <c r="H13" s="19">
        <v>2</v>
      </c>
    </row>
    <row r="14" spans="1:8">
      <c r="B14" s="19" t="s">
        <v>102</v>
      </c>
      <c r="C14" s="19" t="s">
        <v>103</v>
      </c>
      <c r="D14" s="19">
        <v>0</v>
      </c>
      <c r="E14" s="19">
        <v>-2</v>
      </c>
      <c r="F14" s="19">
        <v>36</v>
      </c>
      <c r="G14" s="19">
        <v>2</v>
      </c>
      <c r="H14" s="19">
        <v>1E+30</v>
      </c>
    </row>
    <row r="15" spans="1:8">
      <c r="B15" s="19" t="s">
        <v>104</v>
      </c>
      <c r="C15" s="19" t="s">
        <v>105</v>
      </c>
      <c r="D15" s="19">
        <v>20000</v>
      </c>
      <c r="E15" s="19">
        <v>0</v>
      </c>
      <c r="F15" s="19">
        <v>49</v>
      </c>
      <c r="G15" s="19">
        <v>29.749999999931799</v>
      </c>
      <c r="H15" s="19">
        <v>2</v>
      </c>
    </row>
    <row r="16" spans="1:8">
      <c r="B16" s="19" t="s">
        <v>106</v>
      </c>
      <c r="C16" s="19" t="s">
        <v>107</v>
      </c>
      <c r="D16" s="19">
        <v>0</v>
      </c>
      <c r="E16" s="19">
        <v>-2</v>
      </c>
      <c r="F16" s="19">
        <v>47</v>
      </c>
      <c r="G16" s="19">
        <v>2</v>
      </c>
      <c r="H16" s="19">
        <v>1E+30</v>
      </c>
    </row>
    <row r="17" spans="1:8">
      <c r="B17" s="19" t="s">
        <v>108</v>
      </c>
      <c r="C17" s="19" t="s">
        <v>109</v>
      </c>
      <c r="D17" s="19">
        <v>50799.999999988402</v>
      </c>
      <c r="E17" s="19">
        <v>0</v>
      </c>
      <c r="F17" s="19">
        <v>38</v>
      </c>
      <c r="G17" s="19">
        <v>0</v>
      </c>
      <c r="H17" s="19">
        <v>22.114285714225499</v>
      </c>
    </row>
    <row r="18" spans="1:8">
      <c r="B18" s="19" t="s">
        <v>110</v>
      </c>
      <c r="C18" s="19" t="s">
        <v>111</v>
      </c>
      <c r="D18" s="19">
        <v>24000</v>
      </c>
      <c r="E18" s="19">
        <v>0</v>
      </c>
      <c r="F18" s="19">
        <v>35</v>
      </c>
      <c r="G18" s="19">
        <v>1E+30</v>
      </c>
      <c r="H18" s="19">
        <v>0</v>
      </c>
    </row>
    <row r="19" spans="1:8">
      <c r="B19" s="19" t="s">
        <v>112</v>
      </c>
      <c r="C19" s="19" t="s">
        <v>113</v>
      </c>
      <c r="D19" s="19">
        <v>39200.000000011598</v>
      </c>
      <c r="E19" s="19">
        <v>0</v>
      </c>
      <c r="F19" s="19">
        <v>68</v>
      </c>
      <c r="G19" s="19">
        <v>22.114285714225499</v>
      </c>
      <c r="H19" s="19">
        <v>0</v>
      </c>
    </row>
    <row r="20" spans="1:8">
      <c r="B20" s="18" t="s">
        <v>114</v>
      </c>
      <c r="C20" s="18" t="s">
        <v>115</v>
      </c>
      <c r="D20" s="18">
        <v>0</v>
      </c>
      <c r="E20" s="18">
        <v>0</v>
      </c>
      <c r="F20" s="18">
        <v>65</v>
      </c>
      <c r="G20" s="18">
        <v>0</v>
      </c>
      <c r="H20" s="18">
        <v>1E+30</v>
      </c>
    </row>
    <row r="22" spans="1:8">
      <c r="A22" t="s">
        <v>49</v>
      </c>
    </row>
    <row r="23" spans="1:8" ht="13">
      <c r="B23" s="16"/>
      <c r="C23" s="16"/>
      <c r="D23" s="16" t="s">
        <v>64</v>
      </c>
      <c r="E23" s="16" t="s">
        <v>73</v>
      </c>
      <c r="F23" s="16" t="s">
        <v>49</v>
      </c>
      <c r="G23" s="16" t="s">
        <v>67</v>
      </c>
      <c r="H23" s="16" t="s">
        <v>67</v>
      </c>
    </row>
    <row r="24" spans="1:8" ht="13">
      <c r="B24" s="17" t="s">
        <v>41</v>
      </c>
      <c r="C24" s="17" t="s">
        <v>42</v>
      </c>
      <c r="D24" s="17" t="s">
        <v>68</v>
      </c>
      <c r="E24" s="17" t="s">
        <v>74</v>
      </c>
      <c r="F24" s="17" t="s">
        <v>75</v>
      </c>
      <c r="G24" s="17" t="s">
        <v>71</v>
      </c>
      <c r="H24" s="17" t="s">
        <v>72</v>
      </c>
    </row>
    <row r="25" spans="1:8">
      <c r="B25" s="19" t="s">
        <v>116</v>
      </c>
      <c r="C25" s="19" t="s">
        <v>117</v>
      </c>
      <c r="D25" s="19">
        <v>87200.000000011598</v>
      </c>
      <c r="E25" s="19">
        <v>0</v>
      </c>
      <c r="F25" s="19">
        <v>100000</v>
      </c>
      <c r="G25" s="19">
        <v>1E+30</v>
      </c>
      <c r="H25" s="19">
        <v>12799.9999999884</v>
      </c>
    </row>
    <row r="26" spans="1:8">
      <c r="B26" s="19" t="s">
        <v>119</v>
      </c>
      <c r="C26" s="19" t="s">
        <v>120</v>
      </c>
      <c r="D26" s="19">
        <v>90000</v>
      </c>
      <c r="E26" s="19">
        <v>38</v>
      </c>
      <c r="F26" s="19">
        <v>90000</v>
      </c>
      <c r="G26" s="19">
        <v>25200.000000011602</v>
      </c>
      <c r="H26" s="19">
        <v>50799.999999988402</v>
      </c>
    </row>
    <row r="27" spans="1:8">
      <c r="B27" s="19" t="s">
        <v>122</v>
      </c>
      <c r="C27" s="19" t="s">
        <v>123</v>
      </c>
      <c r="D27" s="19">
        <v>0</v>
      </c>
      <c r="E27" s="19">
        <v>0</v>
      </c>
      <c r="F27" s="19">
        <v>25000</v>
      </c>
      <c r="G27" s="19">
        <v>1E+30</v>
      </c>
      <c r="H27" s="19">
        <v>25000</v>
      </c>
    </row>
    <row r="28" spans="1:8">
      <c r="B28" s="19" t="s">
        <v>125</v>
      </c>
      <c r="C28" s="19" t="s">
        <v>126</v>
      </c>
      <c r="D28" s="19">
        <v>24000</v>
      </c>
      <c r="E28" s="19">
        <v>35</v>
      </c>
      <c r="F28" s="19">
        <v>24000</v>
      </c>
      <c r="G28" s="19">
        <v>25200.000000011602</v>
      </c>
      <c r="H28" s="19">
        <v>24000</v>
      </c>
    </row>
    <row r="29" spans="1:8">
      <c r="B29" s="19" t="s">
        <v>128</v>
      </c>
      <c r="C29" s="19" t="s">
        <v>129</v>
      </c>
      <c r="D29" s="19">
        <v>67200.000000011598</v>
      </c>
      <c r="E29" s="19">
        <v>38</v>
      </c>
      <c r="F29" s="19">
        <v>0</v>
      </c>
      <c r="G29" s="19">
        <v>12799.9999999884</v>
      </c>
      <c r="H29" s="19">
        <v>67200.000000011598</v>
      </c>
    </row>
    <row r="30" spans="1:8">
      <c r="B30" s="19" t="s">
        <v>131</v>
      </c>
      <c r="C30" s="19" t="s">
        <v>132</v>
      </c>
      <c r="D30" s="19">
        <v>20000</v>
      </c>
      <c r="E30" s="19">
        <v>49</v>
      </c>
      <c r="F30" s="19">
        <v>0</v>
      </c>
      <c r="G30" s="19">
        <v>12799.9999999884</v>
      </c>
      <c r="H30" s="19">
        <v>20000</v>
      </c>
    </row>
    <row r="31" spans="1:8">
      <c r="B31" s="19" t="s">
        <v>134</v>
      </c>
      <c r="C31" s="19" t="s">
        <v>135</v>
      </c>
      <c r="D31" s="19">
        <v>74799.999999988402</v>
      </c>
      <c r="E31" s="19">
        <v>0</v>
      </c>
      <c r="F31" s="19">
        <v>0</v>
      </c>
      <c r="G31" s="19">
        <v>1E+30</v>
      </c>
      <c r="H31" s="19">
        <v>25200.000000011602</v>
      </c>
    </row>
    <row r="32" spans="1:8">
      <c r="B32" s="19" t="s">
        <v>137</v>
      </c>
      <c r="C32" s="19" t="s">
        <v>138</v>
      </c>
      <c r="D32" s="19">
        <v>39200.000000011598</v>
      </c>
      <c r="E32" s="19">
        <v>30</v>
      </c>
      <c r="F32" s="19">
        <v>0</v>
      </c>
      <c r="G32" s="19">
        <v>50799.999999988402</v>
      </c>
      <c r="H32" s="19">
        <v>25200.000000011602</v>
      </c>
    </row>
    <row r="33" spans="2:8">
      <c r="B33" s="18" t="s">
        <v>140</v>
      </c>
      <c r="C33" s="18" t="s">
        <v>141</v>
      </c>
      <c r="D33" s="18">
        <v>18000</v>
      </c>
      <c r="E33" s="18">
        <v>14.7500000000437</v>
      </c>
      <c r="F33" s="18">
        <v>18000</v>
      </c>
      <c r="G33" s="18">
        <v>2000</v>
      </c>
      <c r="H33" s="18">
        <v>8000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showGridLines="0" workbookViewId="0">
      <selection activeCell="C23" sqref="C23"/>
    </sheetView>
  </sheetViews>
  <sheetFormatPr defaultColWidth="9" defaultRowHeight="12.5"/>
  <cols>
    <col min="1" max="1" width="2.1796875" customWidth="1"/>
    <col min="2" max="2" width="6.7265625" customWidth="1"/>
    <col min="3" max="3" width="33" customWidth="1"/>
    <col min="4" max="4" width="8.26953125" customWidth="1"/>
    <col min="5" max="5" width="2.1796875" customWidth="1"/>
    <col min="6" max="6" width="6.26953125" customWidth="1"/>
    <col min="7" max="7" width="8.26953125" customWidth="1"/>
    <col min="8" max="8" width="2.1796875" customWidth="1"/>
    <col min="9" max="9" width="6.26953125" customWidth="1"/>
    <col min="10" max="10" width="8.26953125" customWidth="1"/>
  </cols>
  <sheetData>
    <row r="1" spans="1:10" ht="13">
      <c r="A1" s="15" t="s">
        <v>76</v>
      </c>
    </row>
    <row r="2" spans="1:10" ht="13">
      <c r="A2" s="15" t="s">
        <v>85</v>
      </c>
    </row>
    <row r="3" spans="1:10" ht="13">
      <c r="A3" s="15" t="s">
        <v>148</v>
      </c>
    </row>
    <row r="6" spans="1:10" ht="13">
      <c r="B6" s="16"/>
      <c r="C6" s="16" t="s">
        <v>66</v>
      </c>
      <c r="D6" s="16"/>
    </row>
    <row r="7" spans="1:10" ht="13">
      <c r="B7" s="17" t="s">
        <v>41</v>
      </c>
      <c r="C7" s="17" t="s">
        <v>42</v>
      </c>
      <c r="D7" s="17" t="s">
        <v>68</v>
      </c>
    </row>
    <row r="8" spans="1:10">
      <c r="B8" s="18" t="s">
        <v>90</v>
      </c>
      <c r="C8" s="18" t="s">
        <v>91</v>
      </c>
      <c r="D8" s="18">
        <v>8951600.0000007898</v>
      </c>
    </row>
    <row r="11" spans="1:10" ht="13">
      <c r="B11" s="16"/>
      <c r="C11" s="16" t="s">
        <v>77</v>
      </c>
      <c r="D11" s="16"/>
      <c r="F11" s="16" t="s">
        <v>78</v>
      </c>
      <c r="G11" s="16" t="s">
        <v>66</v>
      </c>
      <c r="I11" s="16" t="s">
        <v>79</v>
      </c>
      <c r="J11" s="16" t="s">
        <v>66</v>
      </c>
    </row>
    <row r="12" spans="1:10" ht="13">
      <c r="B12" s="17" t="s">
        <v>41</v>
      </c>
      <c r="C12" s="17" t="s">
        <v>42</v>
      </c>
      <c r="D12" s="17" t="s">
        <v>68</v>
      </c>
      <c r="F12" s="17" t="s">
        <v>80</v>
      </c>
      <c r="G12" s="17" t="s">
        <v>81</v>
      </c>
      <c r="I12" s="17" t="s">
        <v>80</v>
      </c>
      <c r="J12" s="17" t="s">
        <v>81</v>
      </c>
    </row>
    <row r="13" spans="1:10">
      <c r="B13" s="19" t="s">
        <v>92</v>
      </c>
      <c r="C13" s="19" t="s">
        <v>93</v>
      </c>
      <c r="D13" s="19">
        <v>10000</v>
      </c>
      <c r="F13" s="19">
        <v>10000</v>
      </c>
      <c r="G13" s="19">
        <v>8951600.0000007898</v>
      </c>
      <c r="I13" s="19">
        <v>10000</v>
      </c>
      <c r="J13" s="19">
        <v>8951600.0000007898</v>
      </c>
    </row>
    <row r="14" spans="1:10">
      <c r="B14" s="19" t="s">
        <v>94</v>
      </c>
      <c r="C14" s="19" t="s">
        <v>95</v>
      </c>
      <c r="D14" s="19">
        <v>0</v>
      </c>
      <c r="F14" s="19">
        <v>0</v>
      </c>
      <c r="G14" s="19">
        <v>8951600.0000007898</v>
      </c>
      <c r="I14" s="19">
        <v>0</v>
      </c>
      <c r="J14" s="19">
        <v>8951600.0000007898</v>
      </c>
    </row>
    <row r="15" spans="1:10">
      <c r="B15" s="19" t="s">
        <v>96</v>
      </c>
      <c r="C15" s="19" t="s">
        <v>97</v>
      </c>
      <c r="D15" s="19">
        <v>0</v>
      </c>
      <c r="F15" s="19">
        <v>0</v>
      </c>
      <c r="G15" s="19">
        <v>8951600.0000007898</v>
      </c>
      <c r="I15" s="19">
        <v>0</v>
      </c>
      <c r="J15" s="19">
        <v>8951600.0000007898</v>
      </c>
    </row>
    <row r="16" spans="1:10">
      <c r="B16" s="19" t="s">
        <v>98</v>
      </c>
      <c r="C16" s="19" t="s">
        <v>99</v>
      </c>
      <c r="D16" s="19">
        <v>8000</v>
      </c>
      <c r="F16" s="19">
        <v>8000</v>
      </c>
      <c r="G16" s="19">
        <v>8951600.0000007898</v>
      </c>
      <c r="I16" s="19">
        <v>8000</v>
      </c>
      <c r="J16" s="19">
        <v>8951600.0000007898</v>
      </c>
    </row>
    <row r="17" spans="2:10">
      <c r="B17" s="19" t="s">
        <v>100</v>
      </c>
      <c r="C17" s="19" t="s">
        <v>101</v>
      </c>
      <c r="D17" s="19">
        <v>67200.000000011598</v>
      </c>
      <c r="F17" s="19">
        <v>0</v>
      </c>
      <c r="G17" s="19">
        <v>6398000.0000003502</v>
      </c>
      <c r="I17" s="19">
        <v>67200</v>
      </c>
      <c r="J17" s="19">
        <v>8951600.0000003502</v>
      </c>
    </row>
    <row r="18" spans="2:10">
      <c r="B18" s="19" t="s">
        <v>102</v>
      </c>
      <c r="C18" s="19" t="s">
        <v>103</v>
      </c>
      <c r="D18" s="19">
        <v>0</v>
      </c>
      <c r="F18" s="19">
        <v>0</v>
      </c>
      <c r="G18" s="19">
        <v>8951600.0000007898</v>
      </c>
      <c r="I18" s="19">
        <v>-1.16415321826935E-8</v>
      </c>
      <c r="J18" s="19">
        <v>8951600.0000003707</v>
      </c>
    </row>
    <row r="19" spans="2:10">
      <c r="B19" s="19" t="s">
        <v>104</v>
      </c>
      <c r="C19" s="19" t="s">
        <v>105</v>
      </c>
      <c r="D19" s="19">
        <v>20000</v>
      </c>
      <c r="F19" s="19">
        <v>0</v>
      </c>
      <c r="G19" s="19">
        <v>7971600.0000007898</v>
      </c>
      <c r="I19" s="19">
        <v>20000</v>
      </c>
      <c r="J19" s="19">
        <v>8951600.0000007898</v>
      </c>
    </row>
    <row r="20" spans="2:10">
      <c r="B20" s="19" t="s">
        <v>106</v>
      </c>
      <c r="C20" s="19" t="s">
        <v>107</v>
      </c>
      <c r="D20" s="19">
        <v>0</v>
      </c>
      <c r="F20" s="19">
        <v>0</v>
      </c>
      <c r="G20" s="19">
        <v>8951600.0000007898</v>
      </c>
      <c r="I20" s="19">
        <v>0</v>
      </c>
      <c r="J20" s="19">
        <v>8951600.0000007898</v>
      </c>
    </row>
    <row r="21" spans="2:10">
      <c r="B21" s="19" t="s">
        <v>108</v>
      </c>
      <c r="C21" s="19" t="s">
        <v>109</v>
      </c>
      <c r="D21" s="19">
        <v>50799.999999988402</v>
      </c>
      <c r="F21" s="19">
        <v>0</v>
      </c>
      <c r="G21" s="19">
        <v>7021200.0000012303</v>
      </c>
      <c r="I21" s="19">
        <v>50799.999999988402</v>
      </c>
      <c r="J21" s="19">
        <v>8951600.0000007898</v>
      </c>
    </row>
    <row r="22" spans="2:10">
      <c r="B22" s="19" t="s">
        <v>110</v>
      </c>
      <c r="C22" s="19" t="s">
        <v>111</v>
      </c>
      <c r="D22" s="19">
        <v>24000</v>
      </c>
      <c r="F22" s="19">
        <v>0</v>
      </c>
      <c r="G22" s="19">
        <v>8111600.0000007898</v>
      </c>
      <c r="I22" s="19">
        <v>24000</v>
      </c>
      <c r="J22" s="19">
        <v>8951600.0000007898</v>
      </c>
    </row>
    <row r="23" spans="2:10">
      <c r="B23" s="19" t="s">
        <v>112</v>
      </c>
      <c r="C23" s="19" t="s">
        <v>113</v>
      </c>
      <c r="D23" s="19">
        <v>39200.000000011598</v>
      </c>
      <c r="F23" s="19">
        <v>0</v>
      </c>
      <c r="G23" s="19">
        <v>6286000</v>
      </c>
      <c r="I23" s="19">
        <v>39200</v>
      </c>
      <c r="J23" s="19">
        <v>8951600</v>
      </c>
    </row>
    <row r="24" spans="2:10">
      <c r="B24" s="18" t="s">
        <v>114</v>
      </c>
      <c r="C24" s="18" t="s">
        <v>115</v>
      </c>
      <c r="D24" s="18">
        <v>0</v>
      </c>
      <c r="F24" s="18">
        <v>0</v>
      </c>
      <c r="G24" s="18">
        <v>8951600.0000007898</v>
      </c>
      <c r="I24" s="18">
        <v>0</v>
      </c>
      <c r="J24" s="18">
        <v>8951600.0000007898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4"/>
  <sheetViews>
    <sheetView workbookViewId="0">
      <selection activeCell="I12" sqref="I12"/>
    </sheetView>
  </sheetViews>
  <sheetFormatPr defaultColWidth="9.36328125" defaultRowHeight="12.5"/>
  <cols>
    <col min="1" max="1" width="13.26953125" style="1" customWidth="1"/>
    <col min="2" max="2" width="24.453125" style="1" customWidth="1"/>
    <col min="3" max="3" width="10.54296875" style="1" customWidth="1"/>
    <col min="4" max="4" width="7.453125" style="1" customWidth="1"/>
    <col min="5" max="5" width="13.36328125" style="1" customWidth="1"/>
    <col min="6" max="6" width="11.36328125" style="1" customWidth="1"/>
    <col min="7" max="7" width="14.81640625" style="1" customWidth="1"/>
    <col min="8" max="8" width="14.90625" style="1" customWidth="1"/>
    <col min="9" max="9" width="18.6328125" style="1" customWidth="1"/>
    <col min="10" max="10" width="10.26953125" style="1" customWidth="1"/>
    <col min="11" max="11" width="19.08984375" style="1" customWidth="1"/>
    <col min="12" max="12" width="11.7265625" style="1" customWidth="1"/>
    <col min="13" max="13" width="11.26953125" style="1" customWidth="1"/>
    <col min="14" max="14" width="10.81640625" style="1" customWidth="1"/>
    <col min="15" max="16384" width="9.36328125" style="1"/>
  </cols>
  <sheetData>
    <row r="1" spans="1:14" ht="18">
      <c r="A1" s="2" t="s">
        <v>0</v>
      </c>
    </row>
    <row r="3" spans="1:14">
      <c r="A3" s="3"/>
      <c r="B3" s="3"/>
      <c r="C3" s="24" t="s">
        <v>1</v>
      </c>
      <c r="D3" s="25"/>
      <c r="E3" s="25"/>
    </row>
    <row r="4" spans="1:14">
      <c r="A4" s="3"/>
      <c r="B4" s="3"/>
      <c r="C4" s="5" t="s">
        <v>2</v>
      </c>
      <c r="D4" s="5" t="s">
        <v>3</v>
      </c>
      <c r="E4" s="5" t="s">
        <v>4</v>
      </c>
      <c r="F4" s="3"/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</row>
    <row r="5" spans="1:14">
      <c r="A5" s="26" t="s">
        <v>13</v>
      </c>
      <c r="B5" s="6" t="s">
        <v>14</v>
      </c>
      <c r="C5" s="7">
        <v>67200.000000011598</v>
      </c>
      <c r="D5" s="7">
        <v>0</v>
      </c>
      <c r="E5" s="8">
        <f>SUM(C5:D5)</f>
        <v>67200.000000011598</v>
      </c>
      <c r="F5" s="9" t="s">
        <v>15</v>
      </c>
      <c r="G5" s="8">
        <f>H5+G12</f>
        <v>67200</v>
      </c>
      <c r="H5" s="10">
        <v>60000</v>
      </c>
      <c r="I5" s="10">
        <v>66</v>
      </c>
      <c r="J5" s="8">
        <f>E5*I5</f>
        <v>4435200.0000007702</v>
      </c>
      <c r="K5" s="8">
        <f>SUMPRODUCT(C15:D15,C5:D5)</f>
        <v>1075200.00000019</v>
      </c>
      <c r="L5" s="10">
        <v>120</v>
      </c>
      <c r="M5" s="8">
        <f>L5*E5</f>
        <v>8064000.0000013998</v>
      </c>
      <c r="N5" s="8">
        <f>M5-(I12+J5+K5)</f>
        <v>2543600.00000044</v>
      </c>
    </row>
    <row r="6" spans="1:14">
      <c r="A6" s="31"/>
      <c r="B6" s="6" t="s">
        <v>16</v>
      </c>
      <c r="C6" s="7">
        <v>20000</v>
      </c>
      <c r="D6" s="7">
        <v>0</v>
      </c>
      <c r="E6" s="8">
        <f t="shared" ref="E6:E8" si="0">SUM(C6:D6)</f>
        <v>20000</v>
      </c>
      <c r="F6" s="9" t="s">
        <v>15</v>
      </c>
      <c r="G6" s="8">
        <f t="shared" ref="G6:G8" si="1">H6+G13</f>
        <v>20000</v>
      </c>
      <c r="H6" s="10">
        <v>20000</v>
      </c>
      <c r="I6" s="10">
        <v>85</v>
      </c>
      <c r="J6" s="8">
        <f t="shared" ref="J6:J8" si="2">E6*I6</f>
        <v>1700000</v>
      </c>
      <c r="K6" s="8">
        <f>SUMPRODUCT(C15:D15,C6:D6)</f>
        <v>320000</v>
      </c>
      <c r="L6" s="10">
        <v>150</v>
      </c>
      <c r="M6" s="8">
        <f t="shared" ref="M6:M8" si="3">L6*E6</f>
        <v>3000000</v>
      </c>
      <c r="N6" s="8">
        <f t="shared" ref="N6:N8" si="4">M6-(I13+J6+K6)</f>
        <v>980000</v>
      </c>
    </row>
    <row r="7" spans="1:14">
      <c r="A7" s="26" t="s">
        <v>17</v>
      </c>
      <c r="B7" s="6" t="s">
        <v>18</v>
      </c>
      <c r="C7" s="7">
        <v>50799.999999988402</v>
      </c>
      <c r="D7" s="7">
        <v>24000</v>
      </c>
      <c r="E7" s="8">
        <f t="shared" si="0"/>
        <v>74799.999999988402</v>
      </c>
      <c r="F7" s="9" t="s">
        <v>15</v>
      </c>
      <c r="G7" s="8">
        <f t="shared" si="1"/>
        <v>100000</v>
      </c>
      <c r="H7" s="10">
        <v>100000</v>
      </c>
      <c r="I7" s="10">
        <v>50</v>
      </c>
      <c r="J7" s="8">
        <f t="shared" si="2"/>
        <v>3739999.9999994198</v>
      </c>
      <c r="K7" s="8">
        <f>SUMPRODUCT(C23:D23,C7:D7)</f>
        <v>969599.99999985995</v>
      </c>
      <c r="L7" s="10">
        <v>100</v>
      </c>
      <c r="M7" s="8">
        <f t="shared" si="3"/>
        <v>7479999.9999988396</v>
      </c>
      <c r="N7" s="8">
        <f t="shared" si="4"/>
        <v>2770399.99999956</v>
      </c>
    </row>
    <row r="8" spans="1:14">
      <c r="A8" s="31"/>
      <c r="B8" s="6" t="s">
        <v>19</v>
      </c>
      <c r="C8" s="7">
        <v>39200.000000011598</v>
      </c>
      <c r="D8" s="7">
        <v>0</v>
      </c>
      <c r="E8" s="8">
        <f t="shared" si="0"/>
        <v>39200.000000011598</v>
      </c>
      <c r="F8" s="9" t="s">
        <v>15</v>
      </c>
      <c r="G8" s="8">
        <f t="shared" si="1"/>
        <v>39200</v>
      </c>
      <c r="H8" s="10">
        <v>35000</v>
      </c>
      <c r="I8" s="10">
        <v>80</v>
      </c>
      <c r="J8" s="8">
        <f t="shared" si="2"/>
        <v>3136000.0000009299</v>
      </c>
      <c r="K8" s="8">
        <f>SUMPRODUCT(C23:D23,C8:D8)</f>
        <v>470400.00000013999</v>
      </c>
      <c r="L8" s="10">
        <v>160</v>
      </c>
      <c r="M8" s="8">
        <f t="shared" si="3"/>
        <v>6272000.0000018599</v>
      </c>
      <c r="N8" s="8">
        <f t="shared" si="4"/>
        <v>2657600.0000007902</v>
      </c>
    </row>
    <row r="10" spans="1:14">
      <c r="C10" s="26" t="s">
        <v>13</v>
      </c>
      <c r="D10" s="27"/>
      <c r="M10" s="5" t="s">
        <v>20</v>
      </c>
      <c r="N10" s="14">
        <f>SUM(N5:N8)</f>
        <v>8951600.0000007898</v>
      </c>
    </row>
    <row r="11" spans="1:14">
      <c r="C11" s="5" t="s">
        <v>2</v>
      </c>
      <c r="D11" s="5" t="s">
        <v>3</v>
      </c>
      <c r="G11" s="4" t="s">
        <v>21</v>
      </c>
      <c r="H11" s="5" t="s">
        <v>22</v>
      </c>
      <c r="I11" s="5" t="s">
        <v>23</v>
      </c>
      <c r="K11" s="5" t="s">
        <v>24</v>
      </c>
    </row>
    <row r="12" spans="1:14">
      <c r="B12" s="11" t="s">
        <v>25</v>
      </c>
      <c r="C12" s="12">
        <f>SUM(C5:C6)</f>
        <v>87200.000000011598</v>
      </c>
      <c r="D12" s="12">
        <f>SUM(D5:D6)</f>
        <v>0</v>
      </c>
      <c r="F12" s="11" t="s">
        <v>14</v>
      </c>
      <c r="G12" s="8">
        <f>H5*(I12/K12)*H12</f>
        <v>7200</v>
      </c>
      <c r="H12" s="10">
        <v>0.12</v>
      </c>
      <c r="I12" s="7">
        <v>10000</v>
      </c>
      <c r="J12" s="9" t="s">
        <v>15</v>
      </c>
      <c r="K12" s="10">
        <v>10000</v>
      </c>
    </row>
    <row r="13" spans="1:14">
      <c r="C13" s="9" t="s">
        <v>15</v>
      </c>
      <c r="D13" s="9" t="s">
        <v>15</v>
      </c>
      <c r="F13" s="11" t="s">
        <v>16</v>
      </c>
      <c r="G13" s="8">
        <f t="shared" ref="G13:G15" si="5">H6*(I13/K13)*H13</f>
        <v>0</v>
      </c>
      <c r="H13" s="10">
        <v>0.1</v>
      </c>
      <c r="I13" s="7">
        <v>0</v>
      </c>
      <c r="J13" s="9" t="s">
        <v>15</v>
      </c>
      <c r="K13" s="10">
        <v>10000</v>
      </c>
    </row>
    <row r="14" spans="1:14">
      <c r="B14" s="11" t="s">
        <v>26</v>
      </c>
      <c r="C14" s="10">
        <v>100000</v>
      </c>
      <c r="D14" s="10">
        <v>25000</v>
      </c>
      <c r="F14" s="11" t="s">
        <v>18</v>
      </c>
      <c r="G14" s="8">
        <f t="shared" si="5"/>
        <v>0</v>
      </c>
      <c r="H14" s="10">
        <v>0.08</v>
      </c>
      <c r="I14" s="7">
        <v>0</v>
      </c>
      <c r="J14" s="9" t="s">
        <v>15</v>
      </c>
      <c r="K14" s="10">
        <v>10000</v>
      </c>
    </row>
    <row r="15" spans="1:14">
      <c r="B15" s="13" t="s">
        <v>27</v>
      </c>
      <c r="C15" s="10">
        <v>16</v>
      </c>
      <c r="D15" s="10">
        <v>18</v>
      </c>
      <c r="F15" s="11" t="s">
        <v>19</v>
      </c>
      <c r="G15" s="8">
        <f t="shared" si="5"/>
        <v>4200</v>
      </c>
      <c r="H15" s="10">
        <v>0.15</v>
      </c>
      <c r="I15" s="7">
        <v>8000</v>
      </c>
      <c r="J15" s="9" t="s">
        <v>15</v>
      </c>
      <c r="K15" s="10">
        <v>10000</v>
      </c>
    </row>
    <row r="16" spans="1:14">
      <c r="B16" s="13" t="s">
        <v>28</v>
      </c>
      <c r="C16" s="8">
        <f>C12*C15</f>
        <v>1395200.00000019</v>
      </c>
      <c r="D16" s="8">
        <f>D12*D15</f>
        <v>0</v>
      </c>
    </row>
    <row r="17" spans="2:9">
      <c r="G17" s="28" t="s">
        <v>29</v>
      </c>
      <c r="H17" s="29"/>
      <c r="I17" s="8">
        <f>SUM(I12:I15)</f>
        <v>18000</v>
      </c>
    </row>
    <row r="18" spans="2:9">
      <c r="C18" s="26" t="s">
        <v>17</v>
      </c>
      <c r="D18" s="30"/>
      <c r="I18" s="9" t="s">
        <v>15</v>
      </c>
    </row>
    <row r="19" spans="2:9">
      <c r="C19" s="5" t="s">
        <v>2</v>
      </c>
      <c r="D19" s="5" t="s">
        <v>3</v>
      </c>
      <c r="H19" s="11" t="s">
        <v>30</v>
      </c>
      <c r="I19" s="10">
        <v>18000</v>
      </c>
    </row>
    <row r="20" spans="2:9">
      <c r="B20" s="11" t="s">
        <v>31</v>
      </c>
      <c r="C20" s="8">
        <f>SUM(C7:C8)</f>
        <v>90000</v>
      </c>
      <c r="D20" s="8">
        <f>SUM(D7:D8)</f>
        <v>24000</v>
      </c>
    </row>
    <row r="21" spans="2:9">
      <c r="C21" s="9" t="s">
        <v>15</v>
      </c>
      <c r="D21" s="9" t="s">
        <v>15</v>
      </c>
    </row>
    <row r="22" spans="2:9">
      <c r="B22" s="11" t="s">
        <v>32</v>
      </c>
      <c r="C22" s="10">
        <v>90000</v>
      </c>
      <c r="D22" s="10">
        <v>24000</v>
      </c>
    </row>
    <row r="23" spans="2:9">
      <c r="B23" s="13" t="s">
        <v>33</v>
      </c>
      <c r="C23" s="10">
        <v>12</v>
      </c>
      <c r="D23" s="10">
        <v>15</v>
      </c>
    </row>
    <row r="24" spans="2:9">
      <c r="B24" s="13" t="s">
        <v>34</v>
      </c>
      <c r="C24" s="8">
        <f>C20*C23</f>
        <v>1080000</v>
      </c>
      <c r="D24" s="8">
        <f>D20*D23</f>
        <v>360000</v>
      </c>
    </row>
  </sheetData>
  <mergeCells count="6">
    <mergeCell ref="C3:E3"/>
    <mergeCell ref="C10:D10"/>
    <mergeCell ref="G17:H17"/>
    <mergeCell ref="C18:D18"/>
    <mergeCell ref="A5:A6"/>
    <mergeCell ref="A7:A8"/>
  </mergeCells>
  <phoneticPr fontId="13" type="noConversion"/>
  <pageMargins left="0.7" right="0.7" top="0.75" bottom="0.75" header="0.3" footer="0.3"/>
  <pageSetup paperSize="9" orientation="portrait"/>
  <ignoredErrors>
    <ignoredError sqref="C12:D12 C20:D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Sheet5 (2)</vt:lpstr>
      <vt:lpstr>LightsProduction (2)</vt:lpstr>
      <vt:lpstr>Sheet5</vt:lpstr>
      <vt:lpstr>运算结果报告 1</vt:lpstr>
      <vt:lpstr>敏感性报告 1</vt:lpstr>
      <vt:lpstr>极限值报告 1</vt:lpstr>
      <vt:lpstr>LightsProduction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Mingyuan LIU (20808220)</cp:lastModifiedBy>
  <dcterms:created xsi:type="dcterms:W3CDTF">2007-10-21T20:35:00Z</dcterms:created>
  <dcterms:modified xsi:type="dcterms:W3CDTF">2025-10-21T12:17:22Z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1CB5FD889C344735B8D226F114B74736_12</vt:lpwstr>
  </property>
  <property fmtid="{D5CDD505-2E9C-101B-9397-08002B2CF9AE}" pid="3" name="KSOProductBuildVer">
    <vt:lpwstr>2052-12.1.0.23125</vt:lpwstr>
  </property>
</Properties>
</file>