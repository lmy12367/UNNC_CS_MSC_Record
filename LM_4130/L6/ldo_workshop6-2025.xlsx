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206\Desktop\exeices\linea_model\L6\"/>
    </mc:Choice>
  </mc:AlternateContent>
  <xr:revisionPtr revIDLastSave="0" documentId="13_ncr:1_{E52BF69A-5A24-454B-B2C0-78F97024985D}" xr6:coauthVersionLast="47" xr6:coauthVersionMax="47" xr10:uidLastSave="{00000000-0000-0000-0000-000000000000}"/>
  <bookViews>
    <workbookView xWindow="-110" yWindow="-110" windowWidth="25820" windowHeight="13900" tabRatio="690" firstSheet="2" activeTab="8" xr2:uid="{00000000-000D-0000-FFFF-FFFF00000000}"/>
  </bookViews>
  <sheets>
    <sheet name="InternetConnection1 (2)" sheetId="84" r:id="rId1"/>
    <sheet name="InternetConnection1NL (2)" sheetId="83" r:id="rId2"/>
    <sheet name="InternetConnection1NL" sheetId="79" r:id="rId3"/>
    <sheet name="InternetConnection1" sheetId="80" r:id="rId4"/>
    <sheet name="BuildBridges" sheetId="81" r:id="rId5"/>
    <sheet name="Salesmen (2)" sheetId="85" r:id="rId6"/>
    <sheet name="swim" sheetId="87" r:id="rId7"/>
    <sheet name="Salesmen" sheetId="82" r:id="rId8"/>
    <sheet name="crew" sheetId="88" r:id="rId9"/>
  </sheets>
  <definedNames>
    <definedName name="OpenSolver_ChosenSolver" localSheetId="3" hidden="1">CBC</definedName>
    <definedName name="OpenSolver_ChosenSolver" localSheetId="0" hidden="1">CBC</definedName>
    <definedName name="OpenSolver_DualsNewSheet" localSheetId="3" hidden="1">FALSE</definedName>
    <definedName name="OpenSolver_DualsNewSheet" localSheetId="0" hidden="1">FALSE</definedName>
    <definedName name="OpenSolver_LinearityCheck" localSheetId="3" hidden="1">1</definedName>
    <definedName name="OpenSolver_LinearityCheck" localSheetId="0" hidden="1">1</definedName>
    <definedName name="sencount" hidden="1">2</definedName>
    <definedName name="solver_adj" localSheetId="4" hidden="1">BuildBridges!$B$12:$E$12,BuildBridges!$H$5:$K$9</definedName>
    <definedName name="solver_adj" localSheetId="8" hidden="1">crew!$G$3:$G$11</definedName>
    <definedName name="solver_adj" localSheetId="3" hidden="1">InternetConnection1!$B$5:$G$5</definedName>
    <definedName name="solver_adj" localSheetId="0" hidden="1">'InternetConnection1 (2)'!$B$5:$G$5</definedName>
    <definedName name="solver_adj" localSheetId="2" hidden="1">InternetConnection1NL!$B$5,InternetConnection1NL!$D$5,InternetConnection1NL!$F$5</definedName>
    <definedName name="solver_adj" localSheetId="1" hidden="1">'InternetConnection1NL (2)'!$B$5,'InternetConnection1NL (2)'!$D$5,'InternetConnection1NL (2)'!$F$5</definedName>
    <definedName name="solver_adj" localSheetId="7" hidden="1">Salesmen!$G$5:$J$22,Salesmen!$G$38</definedName>
    <definedName name="solver_adj" localSheetId="5" hidden="1">'Salesmen (2)'!$G$5:$J$22,'Salesmen (2)'!$G$38</definedName>
    <definedName name="solver_adj" localSheetId="6" hidden="1">swim!$H$2:$L$5</definedName>
    <definedName name="solver_cvg" localSheetId="4" hidden="1">0.0001</definedName>
    <definedName name="solver_cvg" localSheetId="8" hidden="1">0.0001</definedName>
    <definedName name="solver_cvg" localSheetId="3" hidden="1">0.0001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cvg" localSheetId="7" hidden="1">0.0001</definedName>
    <definedName name="solver_cvg" localSheetId="5" hidden="1">0.0001</definedName>
    <definedName name="solver_cvg" localSheetId="6" hidden="1">0.0001</definedName>
    <definedName name="solver_drv" localSheetId="4" hidden="1">1</definedName>
    <definedName name="solver_drv" localSheetId="8" hidden="1">1</definedName>
    <definedName name="solver_drv" localSheetId="3" hidden="1">1</definedName>
    <definedName name="solver_drv" localSheetId="0" hidden="1">1</definedName>
    <definedName name="solver_drv" localSheetId="2" hidden="1">1</definedName>
    <definedName name="solver_drv" localSheetId="1" hidden="1">1</definedName>
    <definedName name="solver_drv" localSheetId="7" hidden="1">1</definedName>
    <definedName name="solver_drv" localSheetId="5" hidden="1">1</definedName>
    <definedName name="solver_drv" localSheetId="6" hidden="1">1</definedName>
    <definedName name="solver_eng" localSheetId="4" hidden="1">2</definedName>
    <definedName name="solver_eng" localSheetId="8" hidden="1">2</definedName>
    <definedName name="solver_eng" localSheetId="3" hidden="1">2</definedName>
    <definedName name="solver_eng" localSheetId="0" hidden="1">2</definedName>
    <definedName name="solver_eng" localSheetId="2" hidden="1">1</definedName>
    <definedName name="solver_eng" localSheetId="1" hidden="1">1</definedName>
    <definedName name="solver_eng" localSheetId="7" hidden="1">2</definedName>
    <definedName name="solver_eng" localSheetId="5" hidden="1">1</definedName>
    <definedName name="solver_eng" localSheetId="6" hidden="1">2</definedName>
    <definedName name="solver_est" localSheetId="4" hidden="1">1</definedName>
    <definedName name="solver_est" localSheetId="8" hidden="1">1</definedName>
    <definedName name="solver_est" localSheetId="3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est" localSheetId="7" hidden="1">1</definedName>
    <definedName name="solver_est" localSheetId="5" hidden="1">1</definedName>
    <definedName name="solver_est" localSheetId="6" hidden="1">1</definedName>
    <definedName name="solver_itr" localSheetId="4" hidden="1">2147483647</definedName>
    <definedName name="solver_itr" localSheetId="8" hidden="1">2147483647</definedName>
    <definedName name="solver_itr" localSheetId="3" hidden="1">100</definedName>
    <definedName name="solver_itr" localSheetId="0" hidden="1">100</definedName>
    <definedName name="solver_itr" localSheetId="2" hidden="1">100</definedName>
    <definedName name="solver_itr" localSheetId="1" hidden="1">100</definedName>
    <definedName name="solver_itr" localSheetId="7" hidden="1">2147483647</definedName>
    <definedName name="solver_itr" localSheetId="5" hidden="1">2147483647</definedName>
    <definedName name="solver_itr" localSheetId="6" hidden="1">2147483647</definedName>
    <definedName name="solver_lhs1" localSheetId="4" hidden="1">BuildBridges!$B$12:$E$12</definedName>
    <definedName name="solver_lhs1" localSheetId="8" hidden="1">crew!$B$12:$D$12</definedName>
    <definedName name="solver_lhs1" localSheetId="3" hidden="1">InternetConnection1!$B$5</definedName>
    <definedName name="solver_lhs1" localSheetId="0" hidden="1">'InternetConnection1 (2)'!$B$5</definedName>
    <definedName name="solver_lhs1" localSheetId="2" hidden="1">InternetConnection1NL!$B$5</definedName>
    <definedName name="solver_lhs1" localSheetId="1" hidden="1">'InternetConnection1NL (2)'!$B$5</definedName>
    <definedName name="solver_lhs1" localSheetId="7" hidden="1">Salesmen!$G$19:$J$19</definedName>
    <definedName name="solver_lhs1" localSheetId="5" hidden="1">'Salesmen (2)'!$G$19:$J$19</definedName>
    <definedName name="solver_lhs1" localSheetId="6" hidden="1">swim!$H$2:$L$5</definedName>
    <definedName name="solver_lhs10" localSheetId="3" hidden="1">InternetConnection1!$C$5</definedName>
    <definedName name="solver_lhs10" localSheetId="0" hidden="1">'InternetConnection1 (2)'!$C$5</definedName>
    <definedName name="solver_lhs10" localSheetId="2" hidden="1">InternetConnection1NL!$B$5</definedName>
    <definedName name="solver_lhs10" localSheetId="1" hidden="1">'InternetConnection1NL (2)'!$B$5</definedName>
    <definedName name="solver_lhs10" localSheetId="7" hidden="1">Salesmen!$K$5:$K$22</definedName>
    <definedName name="solver_lhs10" localSheetId="5" hidden="1">'Salesmen (2)'!$K$5:$K$22</definedName>
    <definedName name="solver_lhs11" localSheetId="3" hidden="1">InternetConnection1!$F$5</definedName>
    <definedName name="solver_lhs11" localSheetId="0" hidden="1">'InternetConnection1 (2)'!$F$5</definedName>
    <definedName name="solver_lhs11" localSheetId="2" hidden="1">InternetConnection1NL!$F$5</definedName>
    <definedName name="solver_lhs11" localSheetId="1" hidden="1">'InternetConnection1NL (2)'!$F$5</definedName>
    <definedName name="solver_lhs2" localSheetId="4" hidden="1">BuildBridges!$F$12</definedName>
    <definedName name="solver_lhs2" localSheetId="8" hidden="1">crew!$G$3:$G$11</definedName>
    <definedName name="solver_lhs2" localSheetId="3" hidden="1">InternetConnection1!$C$5</definedName>
    <definedName name="solver_lhs2" localSheetId="0" hidden="1">'InternetConnection1 (2)'!$C$5</definedName>
    <definedName name="solver_lhs2" localSheetId="2" hidden="1">InternetConnection1NL!$D$5</definedName>
    <definedName name="solver_lhs2" localSheetId="1" hidden="1">'InternetConnection1NL (2)'!$D$5</definedName>
    <definedName name="solver_lhs2" localSheetId="7" hidden="1">Salesmen!$G$23:$J$23</definedName>
    <definedName name="solver_lhs2" localSheetId="5" hidden="1">'Salesmen (2)'!$G$23:$J$23</definedName>
    <definedName name="solver_lhs2" localSheetId="6" hidden="1">swim!$H$6:$L$6</definedName>
    <definedName name="solver_lhs3" localSheetId="4" hidden="1">BuildBridges!$H$11:$K$11</definedName>
    <definedName name="solver_lhs3" localSheetId="3" hidden="1">InternetConnection1!$E$5</definedName>
    <definedName name="solver_lhs3" localSheetId="0" hidden="1">'InternetConnection1 (2)'!$E$5</definedName>
    <definedName name="solver_lhs3" localSheetId="2" hidden="1">InternetConnection1NL!$F$5</definedName>
    <definedName name="solver_lhs3" localSheetId="1" hidden="1">'InternetConnection1NL (2)'!$F$5</definedName>
    <definedName name="solver_lhs3" localSheetId="7" hidden="1">Salesmen!$G$29:$J$29</definedName>
    <definedName name="solver_lhs3" localSheetId="5" hidden="1">'Salesmen (2)'!$G$29:$J$29</definedName>
    <definedName name="solver_lhs3" localSheetId="6" hidden="1">swim!$M$2:$M$5</definedName>
    <definedName name="solver_lhs4" localSheetId="4" hidden="1">BuildBridges!$H$5:$K$9</definedName>
    <definedName name="solver_lhs4" localSheetId="3" hidden="1">InternetConnection1!$F$5</definedName>
    <definedName name="solver_lhs4" localSheetId="0" hidden="1">'InternetConnection1 (2)'!$F$5</definedName>
    <definedName name="solver_lhs4" localSheetId="2" hidden="1">InternetConnection1NL!$H$11</definedName>
    <definedName name="solver_lhs4" localSheetId="1" hidden="1">'InternetConnection1NL (2)'!$H$11</definedName>
    <definedName name="solver_lhs4" localSheetId="7" hidden="1">Salesmen!$G$32</definedName>
    <definedName name="solver_lhs4" localSheetId="5" hidden="1">'Salesmen (2)'!$G$32</definedName>
    <definedName name="solver_lhs5" localSheetId="4" hidden="1">BuildBridges!$L$5:$L$9</definedName>
    <definedName name="solver_lhs5" localSheetId="3" hidden="1">InternetConnection1!$D$5</definedName>
    <definedName name="solver_lhs5" localSheetId="0" hidden="1">'InternetConnection1 (2)'!$D$5</definedName>
    <definedName name="solver_lhs5" localSheetId="2" hidden="1">InternetConnection1NL!$E$5</definedName>
    <definedName name="solver_lhs5" localSheetId="1" hidden="1">'InternetConnection1NL (2)'!$E$5</definedName>
    <definedName name="solver_lhs5" localSheetId="7" hidden="1">Salesmen!$G$38</definedName>
    <definedName name="solver_lhs5" localSheetId="5" hidden="1">'Salesmen (2)'!$G$38</definedName>
    <definedName name="solver_lhs6" localSheetId="4" hidden="1">BuildBridges!$N$12:$N$16</definedName>
    <definedName name="solver_lhs6" localSheetId="3" hidden="1">InternetConnection1!$G$19:$G$21</definedName>
    <definedName name="solver_lhs6" localSheetId="0" hidden="1">'InternetConnection1 (2)'!$G$19:$G$21</definedName>
    <definedName name="solver_lhs6" localSheetId="2" hidden="1">InternetConnection1NL!$G$5</definedName>
    <definedName name="solver_lhs6" localSheetId="1" hidden="1">'InternetConnection1NL (2)'!$G$5</definedName>
    <definedName name="solver_lhs6" localSheetId="7" hidden="1">Salesmen!$G$39</definedName>
    <definedName name="solver_lhs6" localSheetId="5" hidden="1">'Salesmen (2)'!$G$39</definedName>
    <definedName name="solver_lhs7" localSheetId="4" hidden="1">BuildBridges!$O$12:$O$16</definedName>
    <definedName name="solver_lhs7" localSheetId="3" hidden="1">InternetConnection1!$G$15:$G$17</definedName>
    <definedName name="solver_lhs7" localSheetId="0" hidden="1">'InternetConnection1 (2)'!$G$15:$G$17</definedName>
    <definedName name="solver_lhs7" localSheetId="2" hidden="1">InternetConnection1NL!$D$5</definedName>
    <definedName name="solver_lhs7" localSheetId="1" hidden="1">'InternetConnection1NL (2)'!$D$5</definedName>
    <definedName name="solver_lhs7" localSheetId="7" hidden="1">Salesmen!$G$5:$J$22</definedName>
    <definedName name="solver_lhs7" localSheetId="5" hidden="1">'Salesmen (2)'!$G$5:$J$22</definedName>
    <definedName name="solver_lhs8" localSheetId="4" hidden="1">BuildBridges!$P$12:$P$16</definedName>
    <definedName name="solver_lhs8" localSheetId="3" hidden="1">InternetConnection1!$G$11</definedName>
    <definedName name="solver_lhs8" localSheetId="0" hidden="1">'InternetConnection1 (2)'!$G$11</definedName>
    <definedName name="solver_lhs8" localSheetId="2" hidden="1">InternetConnection1NL!$B$5</definedName>
    <definedName name="solver_lhs8" localSheetId="1" hidden="1">'InternetConnection1NL (2)'!$B$5</definedName>
    <definedName name="solver_lhs8" localSheetId="7" hidden="1">Salesmen!$H$23:$I$23</definedName>
    <definedName name="solver_lhs8" localSheetId="5" hidden="1">'Salesmen (2)'!$H$23:$I$23</definedName>
    <definedName name="solver_lhs9" localSheetId="3" hidden="1">InternetConnection1!$G$5</definedName>
    <definedName name="solver_lhs9" localSheetId="0" hidden="1">'InternetConnection1 (2)'!$G$5</definedName>
    <definedName name="solver_lhs9" localSheetId="2" hidden="1">InternetConnection1NL!$D$5</definedName>
    <definedName name="solver_lhs9" localSheetId="1" hidden="1">'InternetConnection1NL (2)'!$D$5</definedName>
    <definedName name="solver_lhs9" localSheetId="7" hidden="1">Salesmen!$H$34:$I$34</definedName>
    <definedName name="solver_lhs9" localSheetId="5" hidden="1">'Salesmen (2)'!$H$34:$I$34</definedName>
    <definedName name="solver_lin" localSheetId="4" hidden="1">1</definedName>
    <definedName name="solver_lin" localSheetId="3" hidden="1">1</definedName>
    <definedName name="solver_lin" localSheetId="0" hidden="1">1</definedName>
    <definedName name="solver_lin" localSheetId="2" hidden="1">1</definedName>
    <definedName name="solver_lin" localSheetId="1" hidden="1">1</definedName>
    <definedName name="solver_mip" localSheetId="4" hidden="1">2147483647</definedName>
    <definedName name="solver_mip" localSheetId="8" hidden="1">2147483647</definedName>
    <definedName name="solver_mip" localSheetId="3" hidden="1">2147483647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ip" localSheetId="7" hidden="1">2147483647</definedName>
    <definedName name="solver_mip" localSheetId="5" hidden="1">2147483647</definedName>
    <definedName name="solver_mip" localSheetId="6" hidden="1">2147483647</definedName>
    <definedName name="solver_mni" localSheetId="4" hidden="1">30</definedName>
    <definedName name="solver_mni" localSheetId="8" hidden="1">30</definedName>
    <definedName name="solver_mni" localSheetId="3" hidden="1">30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ni" localSheetId="7" hidden="1">30</definedName>
    <definedName name="solver_mni" localSheetId="5" hidden="1">30</definedName>
    <definedName name="solver_mni" localSheetId="6" hidden="1">30</definedName>
    <definedName name="solver_mrt" localSheetId="4" hidden="1">0.075</definedName>
    <definedName name="solver_mrt" localSheetId="8" hidden="1">0.075</definedName>
    <definedName name="solver_mrt" localSheetId="3" hidden="1">0.075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rt" localSheetId="7" hidden="1">0.075</definedName>
    <definedName name="solver_mrt" localSheetId="5" hidden="1">0.075</definedName>
    <definedName name="solver_mrt" localSheetId="6" hidden="1">0.075</definedName>
    <definedName name="solver_msl" localSheetId="4" hidden="1">2</definedName>
    <definedName name="solver_msl" localSheetId="8" hidden="1">2</definedName>
    <definedName name="solver_msl" localSheetId="3" hidden="1">2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msl" localSheetId="7" hidden="1">2</definedName>
    <definedName name="solver_msl" localSheetId="5" hidden="1">2</definedName>
    <definedName name="solver_msl" localSheetId="6" hidden="1">2</definedName>
    <definedName name="solver_neg" localSheetId="4" hidden="1">1</definedName>
    <definedName name="solver_neg" localSheetId="8" hidden="1">1</definedName>
    <definedName name="solver_neg" localSheetId="3" hidden="1">1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eg" localSheetId="7" hidden="1">1</definedName>
    <definedName name="solver_neg" localSheetId="5" hidden="1">1</definedName>
    <definedName name="solver_neg" localSheetId="6" hidden="1">1</definedName>
    <definedName name="solver_nod" localSheetId="4" hidden="1">2147483647</definedName>
    <definedName name="solver_nod" localSheetId="8" hidden="1">2147483647</definedName>
    <definedName name="solver_nod" localSheetId="3" hidden="1">2147483647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od" localSheetId="7" hidden="1">2147483647</definedName>
    <definedName name="solver_nod" localSheetId="5" hidden="1">2147483647</definedName>
    <definedName name="solver_nod" localSheetId="6" hidden="1">2147483647</definedName>
    <definedName name="solver_ntri" hidden="1">1000</definedName>
    <definedName name="solver_num" localSheetId="4" hidden="1">5</definedName>
    <definedName name="solver_num" localSheetId="8" hidden="1">2</definedName>
    <definedName name="solver_num" localSheetId="3" hidden="1">9</definedName>
    <definedName name="solver_num" localSheetId="0" hidden="1">9</definedName>
    <definedName name="solver_num" localSheetId="2" hidden="1">4</definedName>
    <definedName name="solver_num" localSheetId="1" hidden="1">4</definedName>
    <definedName name="solver_num" localSheetId="7" hidden="1">10</definedName>
    <definedName name="solver_num" localSheetId="5" hidden="1">10</definedName>
    <definedName name="solver_num" localSheetId="6" hidden="1">3</definedName>
    <definedName name="solver_nwt" localSheetId="4" hidden="1">1</definedName>
    <definedName name="solver_nwt" localSheetId="8" hidden="1">1</definedName>
    <definedName name="solver_nwt" localSheetId="3" hidden="1">1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nwt" localSheetId="7" hidden="1">1</definedName>
    <definedName name="solver_nwt" localSheetId="5" hidden="1">1</definedName>
    <definedName name="solver_nwt" localSheetId="6" hidden="1">1</definedName>
    <definedName name="solver_opt" localSheetId="4" hidden="1">BuildBridges!$B$16</definedName>
    <definedName name="solver_opt" localSheetId="8" hidden="1">crew!$G$12</definedName>
    <definedName name="solver_opt" localSheetId="3" hidden="1">InternetConnection1!$I$5</definedName>
    <definedName name="solver_opt" localSheetId="0" hidden="1">'InternetConnection1 (2)'!$I$5</definedName>
    <definedName name="solver_opt" localSheetId="2" hidden="1">InternetConnection1NL!$H$5</definedName>
    <definedName name="solver_opt" localSheetId="1" hidden="1">'InternetConnection1NL (2)'!$H$5</definedName>
    <definedName name="solver_opt" localSheetId="7" hidden="1">Salesmen!$G$41</definedName>
    <definedName name="solver_opt" localSheetId="5" hidden="1">'Salesmen (2)'!$G$41</definedName>
    <definedName name="solver_opt" localSheetId="6" hidden="1">swim!$H$11</definedName>
    <definedName name="solver_pre" localSheetId="4" hidden="1">0.000001</definedName>
    <definedName name="solver_pre" localSheetId="8" hidden="1">0.000001</definedName>
    <definedName name="solver_pre" localSheetId="3" hidden="1">0.000001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pre" localSheetId="7" hidden="1">0.000001</definedName>
    <definedName name="solver_pre" localSheetId="5" hidden="1">0.000001</definedName>
    <definedName name="solver_pre" localSheetId="6" hidden="1">0.000001</definedName>
    <definedName name="solver_rbv" localSheetId="4" hidden="1">1</definedName>
    <definedName name="solver_rbv" localSheetId="8" hidden="1">1</definedName>
    <definedName name="solver_rbv" localSheetId="3" hidden="1">1</definedName>
    <definedName name="solver_rbv" localSheetId="0" hidden="1">1</definedName>
    <definedName name="solver_rbv" localSheetId="2" hidden="1">1</definedName>
    <definedName name="solver_rbv" localSheetId="1" hidden="1">1</definedName>
    <definedName name="solver_rbv" localSheetId="7" hidden="1">1</definedName>
    <definedName name="solver_rbv" localSheetId="5" hidden="1">1</definedName>
    <definedName name="solver_rbv" localSheetId="6" hidden="1">1</definedName>
    <definedName name="solver_rel1" localSheetId="4" hidden="1">5</definedName>
    <definedName name="solver_rel1" localSheetId="8" hidden="1">3</definedName>
    <definedName name="solver_rel1" localSheetId="3" hidden="1">4</definedName>
    <definedName name="solver_rel1" localSheetId="0" hidden="1">4</definedName>
    <definedName name="solver_rel1" localSheetId="2" hidden="1">4</definedName>
    <definedName name="solver_rel1" localSheetId="1" hidden="1">4</definedName>
    <definedName name="solver_rel1" localSheetId="7" hidden="1">2</definedName>
    <definedName name="solver_rel1" localSheetId="5" hidden="1">2</definedName>
    <definedName name="solver_rel1" localSheetId="6" hidden="1">5</definedName>
    <definedName name="solver_rel10" localSheetId="3" hidden="1">5</definedName>
    <definedName name="solver_rel10" localSheetId="0" hidden="1">5</definedName>
    <definedName name="solver_rel10" localSheetId="2" hidden="1">1</definedName>
    <definedName name="solver_rel10" localSheetId="1" hidden="1">1</definedName>
    <definedName name="solver_rel10" localSheetId="7" hidden="1">2</definedName>
    <definedName name="solver_rel10" localSheetId="5" hidden="1">2</definedName>
    <definedName name="solver_rel11" localSheetId="3" hidden="1">4</definedName>
    <definedName name="solver_rel11" localSheetId="0" hidden="1">4</definedName>
    <definedName name="solver_rel11" localSheetId="2" hidden="1">4</definedName>
    <definedName name="solver_rel11" localSheetId="1" hidden="1">4</definedName>
    <definedName name="solver_rel2" localSheetId="4" hidden="1">2</definedName>
    <definedName name="solver_rel2" localSheetId="8" hidden="1">5</definedName>
    <definedName name="solver_rel2" localSheetId="3" hidden="1">5</definedName>
    <definedName name="solver_rel2" localSheetId="0" hidden="1">5</definedName>
    <definedName name="solver_rel2" localSheetId="2" hidden="1">4</definedName>
    <definedName name="solver_rel2" localSheetId="1" hidden="1">4</definedName>
    <definedName name="solver_rel2" localSheetId="7" hidden="1">3</definedName>
    <definedName name="solver_rel2" localSheetId="5" hidden="1">3</definedName>
    <definedName name="solver_rel2" localSheetId="6" hidden="1">1</definedName>
    <definedName name="solver_rel3" localSheetId="4" hidden="1">1</definedName>
    <definedName name="solver_rel3" localSheetId="3" hidden="1">5</definedName>
    <definedName name="solver_rel3" localSheetId="0" hidden="1">5</definedName>
    <definedName name="solver_rel3" localSheetId="2" hidden="1">4</definedName>
    <definedName name="solver_rel3" localSheetId="1" hidden="1">4</definedName>
    <definedName name="solver_rel3" localSheetId="7" hidden="1">1</definedName>
    <definedName name="solver_rel3" localSheetId="5" hidden="1">1</definedName>
    <definedName name="solver_rel3" localSheetId="6" hidden="1">2</definedName>
    <definedName name="solver_rel4" localSheetId="4" hidden="1">5</definedName>
    <definedName name="solver_rel4" localSheetId="3" hidden="1">4</definedName>
    <definedName name="solver_rel4" localSheetId="0" hidden="1">4</definedName>
    <definedName name="solver_rel4" localSheetId="2" hidden="1">3</definedName>
    <definedName name="solver_rel4" localSheetId="1" hidden="1">3</definedName>
    <definedName name="solver_rel4" localSheetId="7" hidden="1">3</definedName>
    <definedName name="solver_rel4" localSheetId="5" hidden="1">3</definedName>
    <definedName name="solver_rel5" localSheetId="4" hidden="1">2</definedName>
    <definedName name="solver_rel5" localSheetId="3" hidden="1">4</definedName>
    <definedName name="solver_rel5" localSheetId="0" hidden="1">4</definedName>
    <definedName name="solver_rel5" localSheetId="2" hidden="1">5</definedName>
    <definedName name="solver_rel5" localSheetId="1" hidden="1">5</definedName>
    <definedName name="solver_rel5" localSheetId="7" hidden="1">5</definedName>
    <definedName name="solver_rel5" localSheetId="5" hidden="1">5</definedName>
    <definedName name="solver_rel6" localSheetId="4" hidden="1">1</definedName>
    <definedName name="solver_rel6" localSheetId="3" hidden="1">1</definedName>
    <definedName name="solver_rel6" localSheetId="0" hidden="1">1</definedName>
    <definedName name="solver_rel6" localSheetId="2" hidden="1">5</definedName>
    <definedName name="solver_rel6" localSheetId="1" hidden="1">5</definedName>
    <definedName name="solver_rel6" localSheetId="7" hidden="1">2</definedName>
    <definedName name="solver_rel6" localSheetId="5" hidden="1">2</definedName>
    <definedName name="solver_rel7" localSheetId="4" hidden="1">1</definedName>
    <definedName name="solver_rel7" localSheetId="3" hidden="1">1</definedName>
    <definedName name="solver_rel7" localSheetId="0" hidden="1">1</definedName>
    <definedName name="solver_rel7" localSheetId="2" hidden="1">1</definedName>
    <definedName name="solver_rel7" localSheetId="1" hidden="1">1</definedName>
    <definedName name="solver_rel7" localSheetId="7" hidden="1">5</definedName>
    <definedName name="solver_rel7" localSheetId="5" hidden="1">5</definedName>
    <definedName name="solver_rel8" localSheetId="4" hidden="1">1</definedName>
    <definedName name="solver_rel8" localSheetId="3" hidden="1">3</definedName>
    <definedName name="solver_rel8" localSheetId="0" hidden="1">3</definedName>
    <definedName name="solver_rel8" localSheetId="2" hidden="1">4</definedName>
    <definedName name="solver_rel8" localSheetId="1" hidden="1">4</definedName>
    <definedName name="solver_rel8" localSheetId="7" hidden="1">1</definedName>
    <definedName name="solver_rel8" localSheetId="5" hidden="1">1</definedName>
    <definedName name="solver_rel9" localSheetId="3" hidden="1">5</definedName>
    <definedName name="solver_rel9" localSheetId="0" hidden="1">5</definedName>
    <definedName name="solver_rel9" localSheetId="2" hidden="1">4</definedName>
    <definedName name="solver_rel9" localSheetId="1" hidden="1">4</definedName>
    <definedName name="solver_rel9" localSheetId="7" hidden="1">2</definedName>
    <definedName name="solver_rel9" localSheetId="5" hidden="1">2</definedName>
    <definedName name="solver_rhs1" localSheetId="4" hidden="1">"二进制"</definedName>
    <definedName name="solver_rhs1" localSheetId="8" hidden="1">crew!$B$14:$D$14</definedName>
    <definedName name="solver_rhs1" localSheetId="3" hidden="1">"整数"</definedName>
    <definedName name="solver_rhs1" localSheetId="0" hidden="1">"整数"</definedName>
    <definedName name="solver_rhs1" localSheetId="2" hidden="1">"整数"</definedName>
    <definedName name="solver_rhs1" localSheetId="1" hidden="1">"整数"</definedName>
    <definedName name="solver_rhs1" localSheetId="7" hidden="1">Salesmen!$G$20:$J$20</definedName>
    <definedName name="solver_rhs1" localSheetId="5" hidden="1">'Salesmen (2)'!$G$20:$J$20</definedName>
    <definedName name="solver_rhs1" localSheetId="6" hidden="1">"二进制"</definedName>
    <definedName name="solver_rhs10" localSheetId="3" hidden="1">binary</definedName>
    <definedName name="solver_rhs10" localSheetId="0" hidden="1">binary</definedName>
    <definedName name="solver_rhs10" localSheetId="2" hidden="1">InternetConnection1NL!$J$11*InternetConnection1NL!$C$5</definedName>
    <definedName name="solver_rhs10" localSheetId="1" hidden="1">'InternetConnection1NL (2)'!$J$11*'InternetConnection1NL (2)'!$C$5</definedName>
    <definedName name="solver_rhs10" localSheetId="7" hidden="1">Salesmen!$M$5:$M$22</definedName>
    <definedName name="solver_rhs10" localSheetId="5" hidden="1">'Salesmen (2)'!$M$5:$M$22</definedName>
    <definedName name="solver_rhs11" localSheetId="3" hidden="1">integer</definedName>
    <definedName name="solver_rhs11" localSheetId="0" hidden="1">integer</definedName>
    <definedName name="solver_rhs11" localSheetId="2" hidden="1">integer</definedName>
    <definedName name="solver_rhs11" localSheetId="1" hidden="1">integer</definedName>
    <definedName name="solver_rhs2" localSheetId="4" hidden="1">BuildBridges!$B$14</definedName>
    <definedName name="solver_rhs2" localSheetId="8" hidden="1">"二进制"</definedName>
    <definedName name="solver_rhs2" localSheetId="3" hidden="1">"二进制"</definedName>
    <definedName name="solver_rhs2" localSheetId="0" hidden="1">"二进制"</definedName>
    <definedName name="solver_rhs2" localSheetId="2" hidden="1">"整数"</definedName>
    <definedName name="solver_rhs2" localSheetId="1" hidden="1">"整数"</definedName>
    <definedName name="solver_rhs2" localSheetId="7" hidden="1">Salesmen!$G$25:$J$25</definedName>
    <definedName name="solver_rhs2" localSheetId="5" hidden="1">'Salesmen (2)'!$G$25:$J$25</definedName>
    <definedName name="solver_rhs2" localSheetId="6" hidden="1">swim!$H$8:$L$8</definedName>
    <definedName name="solver_rhs3" localSheetId="4" hidden="1">BuildBridges!$H$13:$K$13</definedName>
    <definedName name="solver_rhs3" localSheetId="3" hidden="1">"二进制"</definedName>
    <definedName name="solver_rhs3" localSheetId="0" hidden="1">"二进制"</definedName>
    <definedName name="solver_rhs3" localSheetId="2" hidden="1">"整数"</definedName>
    <definedName name="solver_rhs3" localSheetId="1" hidden="1">"整数"</definedName>
    <definedName name="solver_rhs3" localSheetId="7" hidden="1">Salesmen!$G$31:$J$31</definedName>
    <definedName name="solver_rhs3" localSheetId="5" hidden="1">'Salesmen (2)'!$G$31:$J$31</definedName>
    <definedName name="solver_rhs3" localSheetId="6" hidden="1">swim!$O$2:$O$5</definedName>
    <definedName name="solver_rhs4" localSheetId="4" hidden="1">"二进制"</definedName>
    <definedName name="solver_rhs4" localSheetId="3" hidden="1">"整数"</definedName>
    <definedName name="solver_rhs4" localSheetId="0" hidden="1">"整数"</definedName>
    <definedName name="solver_rhs4" localSheetId="2" hidden="1">InternetConnection1NL!$J$11</definedName>
    <definedName name="solver_rhs4" localSheetId="1" hidden="1">'InternetConnection1NL (2)'!$J$11</definedName>
    <definedName name="solver_rhs4" localSheetId="7" hidden="1">Salesmen!$I$32</definedName>
    <definedName name="solver_rhs4" localSheetId="5" hidden="1">'Salesmen (2)'!$I$32</definedName>
    <definedName name="solver_rhs5" localSheetId="4" hidden="1">BuildBridges!$N$5:$N$9</definedName>
    <definedName name="solver_rhs5" localSheetId="3" hidden="1">"整数"</definedName>
    <definedName name="solver_rhs5" localSheetId="0" hidden="1">"整数"</definedName>
    <definedName name="solver_rhs5" localSheetId="2" hidden="1">binary</definedName>
    <definedName name="solver_rhs5" localSheetId="1" hidden="1">binary</definedName>
    <definedName name="solver_rhs5" localSheetId="7" hidden="1">"二进制"</definedName>
    <definedName name="solver_rhs5" localSheetId="5" hidden="1">"二进制"</definedName>
    <definedName name="solver_rhs6" localSheetId="4" hidden="1">BuildBridges!$N$18</definedName>
    <definedName name="solver_rhs6" localSheetId="3" hidden="1">InternetConnection1!$I$19:$I$21</definedName>
    <definedName name="solver_rhs6" localSheetId="0" hidden="1">'InternetConnection1 (2)'!$I$19:$I$21</definedName>
    <definedName name="solver_rhs6" localSheetId="2" hidden="1">binary</definedName>
    <definedName name="solver_rhs6" localSheetId="1" hidden="1">binary</definedName>
    <definedName name="solver_rhs6" localSheetId="7" hidden="1">Salesmen!$G$40</definedName>
    <definedName name="solver_rhs6" localSheetId="5" hidden="1">'Salesmen (2)'!$G$40</definedName>
    <definedName name="solver_rhs7" localSheetId="4" hidden="1">BuildBridges!$O$18</definedName>
    <definedName name="solver_rhs7" localSheetId="3" hidden="1">InternetConnection1!$I$15:$I$17</definedName>
    <definedName name="solver_rhs7" localSheetId="0" hidden="1">'InternetConnection1 (2)'!$I$15:$I$17</definedName>
    <definedName name="solver_rhs7" localSheetId="2" hidden="1">InternetConnection1NL!$J$11*InternetConnection1NL!$E$5</definedName>
    <definedName name="solver_rhs7" localSheetId="1" hidden="1">'InternetConnection1NL (2)'!$J$11*'InternetConnection1NL (2)'!$E$5</definedName>
    <definedName name="solver_rhs7" localSheetId="7" hidden="1">"二进制"</definedName>
    <definedName name="solver_rhs7" localSheetId="5" hidden="1">"二进制"</definedName>
    <definedName name="solver_rhs8" localSheetId="4" hidden="1">BuildBridges!$P$18</definedName>
    <definedName name="solver_rhs8" localSheetId="3" hidden="1">InternetConnection1!$I$11</definedName>
    <definedName name="solver_rhs8" localSheetId="0" hidden="1">'InternetConnection1 (2)'!$I$11</definedName>
    <definedName name="solver_rhs8" localSheetId="2" hidden="1">integer</definedName>
    <definedName name="solver_rhs8" localSheetId="1" hidden="1">integer</definedName>
    <definedName name="solver_rhs8" localSheetId="7" hidden="1">Salesmen!$H$28:$I$28</definedName>
    <definedName name="solver_rhs8" localSheetId="5" hidden="1">'Salesmen (2)'!$H$28:$I$28</definedName>
    <definedName name="solver_rhs9" localSheetId="3" hidden="1">"二进制"</definedName>
    <definedName name="solver_rhs9" localSheetId="0" hidden="1">"二进制"</definedName>
    <definedName name="solver_rhs9" localSheetId="2" hidden="1">integer</definedName>
    <definedName name="solver_rhs9" localSheetId="1" hidden="1">integer</definedName>
    <definedName name="solver_rhs9" localSheetId="7" hidden="1">Salesmen!$H$36:$I$36</definedName>
    <definedName name="solver_rhs9" localSheetId="5" hidden="1">'Salesmen (2)'!$H$36:$I$36</definedName>
    <definedName name="solver_rlx" localSheetId="4" hidden="1">2</definedName>
    <definedName name="solver_rlx" localSheetId="8" hidden="1">2</definedName>
    <definedName name="solver_rlx" localSheetId="3" hidden="1">2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lx" localSheetId="7" hidden="1">2</definedName>
    <definedName name="solver_rlx" localSheetId="5" hidden="1">2</definedName>
    <definedName name="solver_rlx" localSheetId="6" hidden="1">2</definedName>
    <definedName name="solver_rsd" localSheetId="4" hidden="1">0</definedName>
    <definedName name="solver_rsd" localSheetId="8" hidden="1">0</definedName>
    <definedName name="solver_rsd" localSheetId="3" hidden="1">0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rsd" localSheetId="7" hidden="1">0</definedName>
    <definedName name="solver_rsd" localSheetId="5" hidden="1">0</definedName>
    <definedName name="solver_rsd" localSheetId="6" hidden="1">0</definedName>
    <definedName name="solver_rsmp" hidden="1">2</definedName>
    <definedName name="solver_scl" localSheetId="4" hidden="1">1</definedName>
    <definedName name="solver_scl" localSheetId="8" hidden="1">1</definedName>
    <definedName name="solver_scl" localSheetId="3" hidden="1">2</definedName>
    <definedName name="solver_scl" localSheetId="0" hidden="1">2</definedName>
    <definedName name="solver_scl" localSheetId="2" hidden="1">2</definedName>
    <definedName name="solver_scl" localSheetId="1" hidden="1">2</definedName>
    <definedName name="solver_scl" localSheetId="7" hidden="1">1</definedName>
    <definedName name="solver_scl" localSheetId="5" hidden="1">1</definedName>
    <definedName name="solver_scl" localSheetId="6" hidden="1">1</definedName>
    <definedName name="solver_seed" hidden="1">0</definedName>
    <definedName name="solver_sho" localSheetId="4" hidden="1">2</definedName>
    <definedName name="solver_sho" localSheetId="8" hidden="1">2</definedName>
    <definedName name="solver_sho" localSheetId="3" hidden="1">2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ho" localSheetId="7" hidden="1">2</definedName>
    <definedName name="solver_sho" localSheetId="5" hidden="1">2</definedName>
    <definedName name="solver_sho" localSheetId="6" hidden="1">2</definedName>
    <definedName name="solver_ssz" localSheetId="4" hidden="1">100</definedName>
    <definedName name="solver_ssz" localSheetId="8" hidden="1">100</definedName>
    <definedName name="solver_ssz" localSheetId="3" hidden="1">100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ssz" localSheetId="7" hidden="1">100</definedName>
    <definedName name="solver_ssz" localSheetId="5" hidden="1">100</definedName>
    <definedName name="solver_ssz" localSheetId="6" hidden="1">100</definedName>
    <definedName name="solver_tim" localSheetId="4" hidden="1">2147483647</definedName>
    <definedName name="solver_tim" localSheetId="8" hidden="1">2147483647</definedName>
    <definedName name="solver_tim" localSheetId="3" hidden="1">100</definedName>
    <definedName name="solver_tim" localSheetId="0" hidden="1">100</definedName>
    <definedName name="solver_tim" localSheetId="2" hidden="1">100</definedName>
    <definedName name="solver_tim" localSheetId="1" hidden="1">100</definedName>
    <definedName name="solver_tim" localSheetId="7" hidden="1">2147483647</definedName>
    <definedName name="solver_tim" localSheetId="5" hidden="1">2147483647</definedName>
    <definedName name="solver_tim" localSheetId="6" hidden="1">2147483647</definedName>
    <definedName name="solver_tol" localSheetId="4" hidden="1">0.01</definedName>
    <definedName name="solver_tol" localSheetId="8" hidden="1">0.01</definedName>
    <definedName name="solver_tol" localSheetId="3" hidden="1">0.01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ol" localSheetId="7" hidden="1">0.01</definedName>
    <definedName name="solver_tol" localSheetId="5" hidden="1">0.01</definedName>
    <definedName name="solver_tol" localSheetId="6" hidden="1">0.01</definedName>
    <definedName name="solver_typ" localSheetId="4" hidden="1">2</definedName>
    <definedName name="solver_typ" localSheetId="8" hidden="1">2</definedName>
    <definedName name="solver_typ" localSheetId="3" hidden="1">2</definedName>
    <definedName name="solver_typ" localSheetId="0" hidden="1">2</definedName>
    <definedName name="solver_typ" localSheetId="2" hidden="1">2</definedName>
    <definedName name="solver_typ" localSheetId="1" hidden="1">2</definedName>
    <definedName name="solver_typ" localSheetId="7" hidden="1">1</definedName>
    <definedName name="solver_typ" localSheetId="5" hidden="1">1</definedName>
    <definedName name="solver_typ" localSheetId="6" hidden="1">2</definedName>
    <definedName name="solver_val" localSheetId="4" hidden="1">0</definedName>
    <definedName name="solver_val" localSheetId="8" hidden="1">0</definedName>
    <definedName name="solver_val" localSheetId="3" hidden="1">0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al" localSheetId="7" hidden="1">0</definedName>
    <definedName name="solver_val" localSheetId="5" hidden="1">0</definedName>
    <definedName name="solver_val" localSheetId="6" hidden="1">0</definedName>
    <definedName name="solver_ver" localSheetId="4" hidden="1">3</definedName>
    <definedName name="solver_ver" localSheetId="8" hidden="1">3</definedName>
    <definedName name="solver_ver" localSheetId="3" hidden="1">3</definedName>
    <definedName name="solver_ver" localSheetId="0" hidden="1">3</definedName>
    <definedName name="solver_ver" localSheetId="2" hidden="1">3</definedName>
    <definedName name="solver_ver" localSheetId="1" hidden="1">3</definedName>
    <definedName name="solver_ver" localSheetId="7" hidden="1">3</definedName>
    <definedName name="solver_ver" localSheetId="5" hidden="1">3</definedName>
    <definedName name="solver_ver" localSheetId="6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88" l="1"/>
  <c r="D12" i="88"/>
  <c r="C12" i="88"/>
  <c r="B12" i="88"/>
  <c r="H11" i="87"/>
  <c r="I6" i="87"/>
  <c r="J6" i="87"/>
  <c r="K6" i="87"/>
  <c r="L6" i="87"/>
  <c r="H6" i="87"/>
  <c r="M3" i="87"/>
  <c r="M4" i="87"/>
  <c r="M5" i="87"/>
  <c r="M2" i="87"/>
  <c r="G41" i="85"/>
  <c r="G40" i="85"/>
  <c r="I34" i="85"/>
  <c r="H34" i="85"/>
  <c r="G32" i="85"/>
  <c r="J29" i="85"/>
  <c r="I29" i="85"/>
  <c r="H29" i="85"/>
  <c r="G29" i="85"/>
  <c r="J23" i="85"/>
  <c r="I23" i="85"/>
  <c r="H23" i="85"/>
  <c r="G23" i="85"/>
  <c r="G39" i="85" s="1"/>
  <c r="K22" i="85"/>
  <c r="K21" i="85"/>
  <c r="K20" i="85"/>
  <c r="K19" i="85"/>
  <c r="K18" i="85"/>
  <c r="K17" i="85"/>
  <c r="K16" i="85"/>
  <c r="K15" i="85"/>
  <c r="K14" i="85"/>
  <c r="K13" i="85"/>
  <c r="K12" i="85"/>
  <c r="K11" i="85"/>
  <c r="K10" i="85"/>
  <c r="K9" i="85"/>
  <c r="K8" i="85"/>
  <c r="K7" i="85"/>
  <c r="K6" i="85"/>
  <c r="K5" i="85"/>
  <c r="G41" i="82"/>
  <c r="G40" i="82"/>
  <c r="I34" i="82"/>
  <c r="H34" i="82"/>
  <c r="G32" i="82"/>
  <c r="H23" i="82"/>
  <c r="I23" i="82"/>
  <c r="J23" i="82"/>
  <c r="G23" i="82"/>
  <c r="G39" i="82" s="1"/>
  <c r="H29" i="82"/>
  <c r="I29" i="82"/>
  <c r="J29" i="82"/>
  <c r="G29" i="82"/>
  <c r="K5" i="82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I13" i="81"/>
  <c r="J13" i="81"/>
  <c r="K13" i="81"/>
  <c r="H13" i="81"/>
  <c r="K11" i="81"/>
  <c r="J11" i="81"/>
  <c r="I11" i="81"/>
  <c r="H11" i="81"/>
  <c r="L6" i="81"/>
  <c r="L7" i="81"/>
  <c r="L8" i="81"/>
  <c r="L9" i="81"/>
  <c r="L5" i="81"/>
  <c r="F12" i="81"/>
  <c r="B16" i="81"/>
  <c r="I21" i="84"/>
  <c r="G21" i="84"/>
  <c r="I20" i="84"/>
  <c r="G20" i="84"/>
  <c r="I19" i="84"/>
  <c r="G19" i="84"/>
  <c r="I17" i="84"/>
  <c r="G17" i="84"/>
  <c r="I16" i="84"/>
  <c r="G16" i="84"/>
  <c r="I15" i="84"/>
  <c r="G15" i="84"/>
  <c r="G11" i="84"/>
  <c r="F7" i="84"/>
  <c r="D7" i="84"/>
  <c r="B7" i="84"/>
  <c r="H11" i="83"/>
  <c r="F9" i="83"/>
  <c r="D9" i="83"/>
  <c r="B9" i="83"/>
  <c r="F7" i="83"/>
  <c r="D7" i="83"/>
  <c r="B7" i="83"/>
  <c r="D11" i="83" l="1"/>
  <c r="B11" i="83"/>
  <c r="F11" i="83"/>
  <c r="I5" i="84"/>
  <c r="H5" i="83" l="1"/>
  <c r="I21" i="80" l="1"/>
  <c r="G21" i="80"/>
  <c r="I20" i="80"/>
  <c r="G20" i="80"/>
  <c r="I19" i="80"/>
  <c r="G19" i="80"/>
  <c r="I17" i="80"/>
  <c r="G17" i="80"/>
  <c r="I16" i="80"/>
  <c r="G16" i="80"/>
  <c r="I15" i="80"/>
  <c r="G15" i="80"/>
  <c r="G11" i="80"/>
  <c r="F7" i="80"/>
  <c r="D7" i="80"/>
  <c r="B7" i="80"/>
  <c r="H11" i="79"/>
  <c r="F9" i="79"/>
  <c r="D9" i="79"/>
  <c r="B9" i="79"/>
  <c r="F7" i="79"/>
  <c r="D7" i="79"/>
  <c r="B7" i="79"/>
  <c r="I5" i="80" l="1"/>
  <c r="B11" i="79"/>
  <c r="D11" i="79"/>
  <c r="F11" i="79"/>
  <c r="H5" i="79" l="1"/>
</calcChain>
</file>

<file path=xl/sharedStrings.xml><?xml version="1.0" encoding="utf-8"?>
<sst xmlns="http://schemas.openxmlformats.org/spreadsheetml/2006/main" count="270" uniqueCount="104">
  <si>
    <t>Total Cost</t>
  </si>
  <si>
    <t>INTERNET CONNECTION Problem 1 (linear)</t>
  </si>
  <si>
    <t>Company A</t>
  </si>
  <si>
    <t>Company B</t>
  </si>
  <si>
    <t>Company C</t>
  </si>
  <si>
    <t>Mins Required</t>
  </si>
  <si>
    <t>"&gt;="</t>
  </si>
  <si>
    <t>(big M value)</t>
  </si>
  <si>
    <t>Note: The objective is to minimise cost given fixed minutes requirements</t>
  </si>
  <si>
    <t>Minutes Cost</t>
  </si>
  <si>
    <t>Fixed Charge</t>
  </si>
  <si>
    <t>INTERNET CONNECTION Problem 1 (non-linear)</t>
  </si>
  <si>
    <t>Minutes Contracted</t>
  </si>
  <si>
    <t>Total Mins Contracted</t>
  </si>
  <si>
    <t>Cost Per Company</t>
  </si>
  <si>
    <t>Linking Constraints</t>
  </si>
  <si>
    <t>X1 &lt;= MY1</t>
  </si>
  <si>
    <t>"&lt;="</t>
  </si>
  <si>
    <t>X2 &lt;= MY2</t>
  </si>
  <si>
    <t>X3 &lt;= MY3</t>
  </si>
  <si>
    <t>Y1 &lt;= X1</t>
  </si>
  <si>
    <t>Y2 &lt;= X2</t>
  </si>
  <si>
    <t>Y3 &lt;= X3</t>
  </si>
  <si>
    <t>Distance Via Bridge</t>
  </si>
  <si>
    <t>Bridge 1</t>
  </si>
  <si>
    <t>Bridge 2</t>
  </si>
  <si>
    <t>Bridge 3</t>
  </si>
  <si>
    <t>Bridge 4</t>
  </si>
  <si>
    <t xml:space="preserve">House-Office A  </t>
  </si>
  <si>
    <t xml:space="preserve">House-Office B  </t>
  </si>
  <si>
    <t xml:space="preserve">House-Office C  </t>
  </si>
  <si>
    <t xml:space="preserve">House-Office D  </t>
  </si>
  <si>
    <t xml:space="preserve">House-Office E  </t>
  </si>
  <si>
    <t>B11+D11+F11</t>
  </si>
  <si>
    <t xml:space="preserve"> B4*B5</t>
  </si>
  <si>
    <t xml:space="preserve"> D4*D5</t>
  </si>
  <si>
    <t xml:space="preserve"> F4*F5</t>
  </si>
  <si>
    <t xml:space="preserve"> IF($D$5&gt;0,E4,0)</t>
  </si>
  <si>
    <t xml:space="preserve"> IF($F$5&gt;0,G4,0)</t>
  </si>
  <si>
    <t xml:space="preserve"> B7+B9</t>
  </si>
  <si>
    <t>D7+D9</t>
  </si>
  <si>
    <t>F7+F9</t>
  </si>
  <si>
    <t>&gt;=</t>
  </si>
  <si>
    <t>B5+D5+F5</t>
  </si>
  <si>
    <t>B7+D7+F7</t>
  </si>
  <si>
    <t>B4*B5+C4*C5</t>
  </si>
  <si>
    <t>D4*D5+E4*E5</t>
  </si>
  <si>
    <t>F4*F5+G4*G5</t>
  </si>
  <si>
    <t>BUILD BRIDGES Problem</t>
  </si>
  <si>
    <t>SALESMEN Problem</t>
  </si>
  <si>
    <r>
      <t>Gross Sales g</t>
    </r>
    <r>
      <rPr>
        <b/>
        <vertAlign val="subscript"/>
        <sz val="10"/>
        <rFont val="Arial"/>
        <family val="2"/>
      </rPr>
      <t>ij</t>
    </r>
  </si>
  <si>
    <t>A</t>
  </si>
  <si>
    <t>B</t>
  </si>
  <si>
    <t>C</t>
  </si>
  <si>
    <t>D</t>
  </si>
  <si>
    <t xml:space="preserve"> IF($B$5&gt;0,C4,0)</t>
    <phoneticPr fontId="8" type="noConversion"/>
  </si>
  <si>
    <t>bridge</t>
    <phoneticPr fontId="8" type="noConversion"/>
  </si>
  <si>
    <t>A</t>
    <phoneticPr fontId="8" type="noConversion"/>
  </si>
  <si>
    <t>B</t>
    <phoneticPr fontId="8" type="noConversion"/>
  </si>
  <si>
    <t>C</t>
    <phoneticPr fontId="8" type="noConversion"/>
  </si>
  <si>
    <t>D</t>
    <phoneticPr fontId="8" type="noConversion"/>
  </si>
  <si>
    <t>one</t>
    <phoneticPr fontId="8" type="noConversion"/>
  </si>
  <si>
    <t>two</t>
    <phoneticPr fontId="8" type="noConversion"/>
  </si>
  <si>
    <t>trhee</t>
    <phoneticPr fontId="8" type="noConversion"/>
  </si>
  <si>
    <t>four</t>
    <phoneticPr fontId="8" type="noConversion"/>
  </si>
  <si>
    <t>totalBridge</t>
    <phoneticPr fontId="8" type="noConversion"/>
  </si>
  <si>
    <t>E</t>
    <phoneticPr fontId="8" type="noConversion"/>
  </si>
  <si>
    <t>cost</t>
    <phoneticPr fontId="8" type="noConversion"/>
  </si>
  <si>
    <t>=</t>
    <phoneticPr fontId="8" type="noConversion"/>
  </si>
  <si>
    <t>&lt;=</t>
  </si>
  <si>
    <t>&lt;=</t>
    <phoneticPr fontId="8" type="noConversion"/>
  </si>
  <si>
    <t>&gt;=</t>
    <phoneticPr fontId="8" type="noConversion"/>
  </si>
  <si>
    <t>&lt;=1</t>
    <phoneticPr fontId="8" type="noConversion"/>
  </si>
  <si>
    <t>sum</t>
    <phoneticPr fontId="8" type="noConversion"/>
  </si>
  <si>
    <t>每个分支大于2</t>
    <phoneticPr fontId="8" type="noConversion"/>
  </si>
  <si>
    <t>每个分支小于3</t>
    <phoneticPr fontId="8" type="noConversion"/>
  </si>
  <si>
    <r>
      <t>10</t>
    </r>
    <r>
      <rPr>
        <sz val="10"/>
        <rFont val="宋体"/>
        <family val="3"/>
        <charset val="134"/>
      </rPr>
      <t>和11不合</t>
    </r>
    <phoneticPr fontId="8" type="noConversion"/>
  </si>
  <si>
    <r>
      <t>18</t>
    </r>
    <r>
      <rPr>
        <sz val="10"/>
        <rFont val="宋体"/>
        <family val="3"/>
        <charset val="134"/>
      </rPr>
      <t>在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和</t>
    </r>
    <r>
      <rPr>
        <sz val="10"/>
        <rFont val="Arial"/>
        <family val="2"/>
      </rPr>
      <t>D</t>
    </r>
    <phoneticPr fontId="8" type="noConversion"/>
  </si>
  <si>
    <t>双语</t>
    <phoneticPr fontId="8" type="noConversion"/>
  </si>
  <si>
    <t>变量</t>
    <phoneticPr fontId="8" type="noConversion"/>
  </si>
  <si>
    <t>sumA</t>
    <phoneticPr fontId="8" type="noConversion"/>
  </si>
  <si>
    <t>profit</t>
    <phoneticPr fontId="8" type="noConversion"/>
  </si>
  <si>
    <t>stroke</t>
    <phoneticPr fontId="8" type="noConversion"/>
  </si>
  <si>
    <t>Backstroke</t>
    <phoneticPr fontId="8" type="noConversion"/>
  </si>
  <si>
    <t>Breaststore</t>
    <phoneticPr fontId="8" type="noConversion"/>
  </si>
  <si>
    <t>Butterfly</t>
    <phoneticPr fontId="8" type="noConversion"/>
  </si>
  <si>
    <t>Freestyle</t>
    <phoneticPr fontId="8" type="noConversion"/>
  </si>
  <si>
    <t>sw1</t>
    <phoneticPr fontId="8" type="noConversion"/>
  </si>
  <si>
    <t>sw2</t>
    <phoneticPr fontId="8" type="noConversion"/>
  </si>
  <si>
    <t>sw3</t>
    <phoneticPr fontId="8" type="noConversion"/>
  </si>
  <si>
    <t>sw4</t>
    <phoneticPr fontId="8" type="noConversion"/>
  </si>
  <si>
    <t>sw5</t>
    <phoneticPr fontId="8" type="noConversion"/>
  </si>
  <si>
    <t>time</t>
    <phoneticPr fontId="8" type="noConversion"/>
  </si>
  <si>
    <t>Crew</t>
  </si>
  <si>
    <t>Fish</t>
  </si>
  <si>
    <t>Sail</t>
  </si>
  <si>
    <t>Navigate</t>
  </si>
  <si>
    <t>Cost</t>
  </si>
  <si>
    <t>E</t>
  </si>
  <si>
    <t>F</t>
  </si>
  <si>
    <t>G</t>
  </si>
  <si>
    <t>H</t>
  </si>
  <si>
    <t>I</t>
  </si>
  <si>
    <t>total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</si>
</sst>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Verdana"/>
      <family val="2"/>
    </font>
    <font>
      <sz val="10"/>
      <name val="MS Sans Serif"/>
      <family val="2"/>
    </font>
    <font>
      <b/>
      <vertAlign val="subscript"/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Arial"/>
      <family val="2"/>
    </font>
    <font>
      <sz val="10"/>
      <name val="等线"/>
      <family val="3"/>
      <charset val="134"/>
    </font>
    <font>
      <sz val="10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5" fillId="0" borderId="0"/>
    <xf numFmtId="0" fontId="6" fillId="0" borderId="0"/>
  </cellStyleXfs>
  <cellXfs count="29">
    <xf numFmtId="0" fontId="0" fillId="0" borderId="0" xfId="0"/>
    <xf numFmtId="0" fontId="2" fillId="0" borderId="0" xfId="1"/>
    <xf numFmtId="0" fontId="4" fillId="0" borderId="0" xfId="1" applyFont="1"/>
    <xf numFmtId="0" fontId="2" fillId="0" borderId="0" xfId="1" applyAlignment="1">
      <alignment horizontal="center"/>
    </xf>
    <xf numFmtId="49" fontId="2" fillId="0" borderId="0" xfId="1" applyNumberFormat="1" applyAlignment="1">
      <alignment horizontal="center"/>
    </xf>
    <xf numFmtId="0" fontId="3" fillId="0" borderId="0" xfId="1" applyFont="1"/>
    <xf numFmtId="1" fontId="2" fillId="0" borderId="0" xfId="1" applyNumberFormat="1" applyAlignment="1">
      <alignment horizontal="center"/>
    </xf>
    <xf numFmtId="0" fontId="2" fillId="0" borderId="0" xfId="1" applyAlignment="1">
      <alignment horizontal="left"/>
    </xf>
    <xf numFmtId="0" fontId="3" fillId="0" borderId="0" xfId="1" applyFont="1" applyAlignment="1">
      <alignment horizontal="center"/>
    </xf>
    <xf numFmtId="2" fontId="2" fillId="4" borderId="0" xfId="1" applyNumberFormat="1" applyFill="1" applyAlignment="1">
      <alignment horizontal="center"/>
    </xf>
    <xf numFmtId="1" fontId="2" fillId="4" borderId="0" xfId="1" applyNumberFormat="1" applyFill="1" applyAlignment="1">
      <alignment horizontal="center"/>
    </xf>
    <xf numFmtId="0" fontId="3" fillId="0" borderId="0" xfId="1" applyFont="1" applyAlignment="1">
      <alignment horizontal="right"/>
    </xf>
    <xf numFmtId="0" fontId="2" fillId="3" borderId="0" xfId="1" applyFill="1" applyAlignment="1">
      <alignment horizontal="center"/>
    </xf>
    <xf numFmtId="2" fontId="3" fillId="2" borderId="0" xfId="1" applyNumberFormat="1" applyFont="1" applyFill="1" applyAlignment="1">
      <alignment horizontal="center"/>
    </xf>
    <xf numFmtId="0" fontId="2" fillId="0" borderId="0" xfId="1" quotePrefix="1" applyAlignment="1">
      <alignment horizontal="center"/>
    </xf>
    <xf numFmtId="2" fontId="2" fillId="0" borderId="0" xfId="1" applyNumberFormat="1" applyAlignment="1">
      <alignment horizontal="center"/>
    </xf>
    <xf numFmtId="0" fontId="2" fillId="3" borderId="0" xfId="1" applyFill="1"/>
    <xf numFmtId="0" fontId="0" fillId="3" borderId="0" xfId="0" applyFill="1"/>
    <xf numFmtId="0" fontId="2" fillId="0" borderId="0" xfId="0" applyFont="1"/>
    <xf numFmtId="0" fontId="0" fillId="5" borderId="0" xfId="0" applyFill="1"/>
    <xf numFmtId="0" fontId="9" fillId="0" borderId="0" xfId="0" applyFont="1"/>
    <xf numFmtId="0" fontId="11" fillId="0" borderId="0" xfId="0" applyFont="1"/>
    <xf numFmtId="0" fontId="10" fillId="0" borderId="0" xfId="0" applyFont="1"/>
    <xf numFmtId="0" fontId="12" fillId="0" borderId="0" xfId="0" applyFont="1"/>
    <xf numFmtId="0" fontId="3" fillId="0" borderId="0" xfId="1" applyFont="1" applyAlignment="1">
      <alignment horizontal="center"/>
    </xf>
    <xf numFmtId="0" fontId="3" fillId="0" borderId="0" xfId="1" applyFont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0" fillId="0" borderId="0" xfId="0" applyFill="1"/>
  </cellXfs>
  <cellStyles count="5"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常规" xfId="0" builtinId="0"/>
  </cellStyles>
  <dxfs count="0"/>
  <tableStyles count="0" defaultTableStyle="TableStyleMedium9" defaultPivotStyle="PivotStyleLight16"/>
  <colors>
    <mruColors>
      <color rgb="FFFFFF99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50F10-89C6-4B96-B564-D7F6B9821B79}">
  <dimension ref="A1:I21"/>
  <sheetViews>
    <sheetView workbookViewId="0">
      <selection activeCell="G5" sqref="G5"/>
    </sheetView>
  </sheetViews>
  <sheetFormatPr defaultColWidth="8.7265625" defaultRowHeight="12.5" x14ac:dyDescent="0.25"/>
  <cols>
    <col min="1" max="1" width="18.453125" style="1" customWidth="1"/>
    <col min="2" max="2" width="10" style="1" bestFit="1" customWidth="1"/>
    <col min="3" max="3" width="15.54296875" style="1" customWidth="1"/>
    <col min="4" max="4" width="9.26953125" style="1" bestFit="1" customWidth="1"/>
    <col min="5" max="5" width="15.54296875" style="1" customWidth="1"/>
    <col min="6" max="6" width="10.54296875" style="1" customWidth="1"/>
    <col min="7" max="7" width="15.54296875" style="1" customWidth="1"/>
    <col min="8" max="8" width="6" style="1" customWidth="1"/>
    <col min="9" max="9" width="15.54296875" style="1" customWidth="1"/>
    <col min="10" max="10" width="12.26953125" style="1" customWidth="1"/>
    <col min="11" max="16384" width="8.7265625" style="1"/>
  </cols>
  <sheetData>
    <row r="1" spans="1:9" ht="18" x14ac:dyDescent="0.4">
      <c r="A1" s="2" t="s">
        <v>1</v>
      </c>
    </row>
    <row r="3" spans="1:9" ht="13" x14ac:dyDescent="0.3">
      <c r="B3" s="24" t="s">
        <v>2</v>
      </c>
      <c r="C3" s="24"/>
      <c r="D3" s="24" t="s">
        <v>3</v>
      </c>
      <c r="E3" s="24"/>
      <c r="F3" s="24" t="s">
        <v>4</v>
      </c>
      <c r="G3" s="24"/>
      <c r="I3" s="8" t="s">
        <v>0</v>
      </c>
    </row>
    <row r="4" spans="1:9" x14ac:dyDescent="0.25">
      <c r="B4" s="3">
        <v>0.05</v>
      </c>
      <c r="C4" s="3">
        <v>10</v>
      </c>
      <c r="D4" s="3">
        <v>0.03</v>
      </c>
      <c r="E4" s="3">
        <v>20</v>
      </c>
      <c r="F4" s="3">
        <v>2.5000000000000001E-2</v>
      </c>
      <c r="G4" s="3">
        <v>50</v>
      </c>
      <c r="H4" s="4"/>
    </row>
    <row r="5" spans="1:9" ht="13" x14ac:dyDescent="0.3">
      <c r="A5" s="5" t="s">
        <v>12</v>
      </c>
      <c r="B5" s="12">
        <v>0</v>
      </c>
      <c r="C5" s="12">
        <v>0</v>
      </c>
      <c r="D5" s="12">
        <v>3000</v>
      </c>
      <c r="E5" s="12">
        <v>1</v>
      </c>
      <c r="F5" s="12">
        <v>0</v>
      </c>
      <c r="G5" s="12">
        <v>0</v>
      </c>
      <c r="I5" s="13">
        <f>B7+D7+F7</f>
        <v>110</v>
      </c>
    </row>
    <row r="6" spans="1:9" x14ac:dyDescent="0.25">
      <c r="I6" s="3" t="s">
        <v>44</v>
      </c>
    </row>
    <row r="7" spans="1:9" ht="13" x14ac:dyDescent="0.3">
      <c r="A7" s="5" t="s">
        <v>14</v>
      </c>
      <c r="B7" s="9">
        <f>B4*B5+C4*C5</f>
        <v>0</v>
      </c>
      <c r="C7" s="3" t="s">
        <v>45</v>
      </c>
      <c r="D7" s="9">
        <f>D4*D5+E4*E5</f>
        <v>110</v>
      </c>
      <c r="E7" s="3" t="s">
        <v>46</v>
      </c>
      <c r="F7" s="9">
        <f>F4*F5+G4*G5</f>
        <v>0</v>
      </c>
      <c r="G7" s="3" t="s">
        <v>47</v>
      </c>
    </row>
    <row r="8" spans="1:9" x14ac:dyDescent="0.25">
      <c r="B8" s="3"/>
      <c r="C8" s="3"/>
      <c r="D8" s="3"/>
      <c r="E8" s="3"/>
      <c r="F8" s="3"/>
      <c r="G8" s="3"/>
    </row>
    <row r="9" spans="1:9" x14ac:dyDescent="0.25">
      <c r="B9" s="3"/>
      <c r="C9" s="3"/>
      <c r="D9" s="3"/>
      <c r="E9" s="3"/>
      <c r="F9" s="3"/>
      <c r="G9" s="3"/>
    </row>
    <row r="10" spans="1:9" ht="13" x14ac:dyDescent="0.3">
      <c r="G10" s="8" t="s">
        <v>13</v>
      </c>
      <c r="I10" s="8" t="s">
        <v>5</v>
      </c>
    </row>
    <row r="11" spans="1:9" x14ac:dyDescent="0.25">
      <c r="B11" s="3"/>
      <c r="C11" s="3"/>
      <c r="D11" s="3"/>
      <c r="E11" s="3"/>
      <c r="F11" s="3"/>
      <c r="G11" s="9">
        <f>B5+D5+F5</f>
        <v>3000</v>
      </c>
      <c r="H11" s="3" t="s">
        <v>6</v>
      </c>
      <c r="I11" s="3">
        <v>3000</v>
      </c>
    </row>
    <row r="12" spans="1:9" x14ac:dyDescent="0.25">
      <c r="B12" s="3"/>
      <c r="C12" s="3"/>
      <c r="D12" s="3"/>
      <c r="E12" s="3"/>
      <c r="F12" s="3"/>
      <c r="G12" s="3" t="s">
        <v>43</v>
      </c>
      <c r="H12" s="3"/>
      <c r="I12" s="3" t="s">
        <v>7</v>
      </c>
    </row>
    <row r="13" spans="1:9" x14ac:dyDescent="0.25">
      <c r="A13" s="1" t="s">
        <v>8</v>
      </c>
      <c r="B13" s="3"/>
      <c r="C13" s="3"/>
      <c r="D13" s="3"/>
      <c r="E13" s="3"/>
      <c r="F13" s="3"/>
      <c r="G13" s="3"/>
      <c r="H13" s="3"/>
    </row>
    <row r="14" spans="1:9" ht="13" x14ac:dyDescent="0.3">
      <c r="B14" s="3"/>
      <c r="C14" s="3"/>
      <c r="D14" s="3"/>
      <c r="E14" s="3"/>
      <c r="F14" s="3"/>
      <c r="G14" s="24" t="s">
        <v>15</v>
      </c>
      <c r="H14" s="24"/>
      <c r="I14" s="24"/>
    </row>
    <row r="15" spans="1:9" x14ac:dyDescent="0.25">
      <c r="F15" s="7" t="s">
        <v>16</v>
      </c>
      <c r="G15" s="9">
        <f>B5</f>
        <v>0</v>
      </c>
      <c r="H15" s="3" t="s">
        <v>17</v>
      </c>
      <c r="I15" s="9">
        <f>I11*C5</f>
        <v>0</v>
      </c>
    </row>
    <row r="16" spans="1:9" x14ac:dyDescent="0.25">
      <c r="F16" s="7" t="s">
        <v>18</v>
      </c>
      <c r="G16" s="9">
        <f>D5</f>
        <v>3000</v>
      </c>
      <c r="H16" s="3" t="s">
        <v>17</v>
      </c>
      <c r="I16" s="9">
        <f>I11*E5</f>
        <v>3000</v>
      </c>
    </row>
    <row r="17" spans="6:9" x14ac:dyDescent="0.25">
      <c r="F17" s="7" t="s">
        <v>19</v>
      </c>
      <c r="G17" s="9">
        <f>F5</f>
        <v>0</v>
      </c>
      <c r="H17" s="3" t="s">
        <v>17</v>
      </c>
      <c r="I17" s="9">
        <f>I11*G5</f>
        <v>0</v>
      </c>
    </row>
    <row r="18" spans="6:9" x14ac:dyDescent="0.25">
      <c r="F18" s="7"/>
      <c r="G18" s="15"/>
      <c r="H18" s="3"/>
      <c r="I18" s="15"/>
    </row>
    <row r="19" spans="6:9" x14ac:dyDescent="0.25">
      <c r="F19" s="7" t="s">
        <v>20</v>
      </c>
      <c r="G19" s="9">
        <f>C5</f>
        <v>0</v>
      </c>
      <c r="H19" s="3" t="s">
        <v>17</v>
      </c>
      <c r="I19" s="9">
        <f>B5</f>
        <v>0</v>
      </c>
    </row>
    <row r="20" spans="6:9" x14ac:dyDescent="0.25">
      <c r="F20" s="7" t="s">
        <v>21</v>
      </c>
      <c r="G20" s="9">
        <f>E5</f>
        <v>1</v>
      </c>
      <c r="H20" s="3" t="s">
        <v>17</v>
      </c>
      <c r="I20" s="9">
        <f>D5</f>
        <v>3000</v>
      </c>
    </row>
    <row r="21" spans="6:9" x14ac:dyDescent="0.25">
      <c r="F21" s="7" t="s">
        <v>22</v>
      </c>
      <c r="G21" s="9">
        <f>G5</f>
        <v>0</v>
      </c>
      <c r="H21" s="3" t="s">
        <v>17</v>
      </c>
      <c r="I21" s="9">
        <f>F5</f>
        <v>0</v>
      </c>
    </row>
  </sheetData>
  <mergeCells count="4">
    <mergeCell ref="B3:C3"/>
    <mergeCell ref="D3:E3"/>
    <mergeCell ref="F3:G3"/>
    <mergeCell ref="G14:I14"/>
  </mergeCells>
  <phoneticPr fontId="8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AC94-FC13-4DE5-90B3-59BD2BE3DB1D}">
  <dimension ref="A1:J17"/>
  <sheetViews>
    <sheetView workbookViewId="0">
      <selection activeCell="D28" sqref="D28"/>
    </sheetView>
  </sheetViews>
  <sheetFormatPr defaultColWidth="9" defaultRowHeight="12.5" x14ac:dyDescent="0.25"/>
  <cols>
    <col min="1" max="1" width="18.54296875" style="1" customWidth="1"/>
    <col min="2" max="2" width="10" style="1" bestFit="1" customWidth="1"/>
    <col min="3" max="3" width="15.54296875" style="1" customWidth="1"/>
    <col min="4" max="4" width="9.26953125" style="1" bestFit="1" customWidth="1"/>
    <col min="5" max="5" width="15.54296875" style="1" customWidth="1"/>
    <col min="6" max="6" width="9.26953125" style="1" bestFit="1" customWidth="1"/>
    <col min="7" max="7" width="15.54296875" style="1" customWidth="1"/>
    <col min="8" max="8" width="21" style="1" customWidth="1"/>
    <col min="9" max="9" width="5.26953125" style="1" customWidth="1"/>
    <col min="10" max="10" width="15" style="1" customWidth="1"/>
    <col min="11" max="16384" width="9" style="1"/>
  </cols>
  <sheetData>
    <row r="1" spans="1:10" ht="18" x14ac:dyDescent="0.4">
      <c r="A1" s="2" t="s">
        <v>11</v>
      </c>
    </row>
    <row r="3" spans="1:10" ht="13" x14ac:dyDescent="0.3">
      <c r="B3" s="24" t="s">
        <v>2</v>
      </c>
      <c r="C3" s="24"/>
      <c r="D3" s="24" t="s">
        <v>3</v>
      </c>
      <c r="E3" s="24"/>
      <c r="F3" s="24" t="s">
        <v>4</v>
      </c>
      <c r="G3" s="24"/>
      <c r="H3" s="8" t="s">
        <v>0</v>
      </c>
    </row>
    <row r="4" spans="1:10" x14ac:dyDescent="0.25">
      <c r="B4" s="3">
        <v>0.05</v>
      </c>
      <c r="C4" s="3">
        <v>10</v>
      </c>
      <c r="D4" s="3">
        <v>0.03</v>
      </c>
      <c r="E4" s="3">
        <v>20</v>
      </c>
      <c r="F4" s="3">
        <v>2.5000000000000001E-2</v>
      </c>
      <c r="G4" s="3">
        <v>50</v>
      </c>
    </row>
    <row r="5" spans="1:10" ht="13" x14ac:dyDescent="0.3">
      <c r="A5" s="5" t="s">
        <v>12</v>
      </c>
      <c r="B5" s="12">
        <v>0</v>
      </c>
      <c r="C5" s="3"/>
      <c r="D5" s="12">
        <v>0</v>
      </c>
      <c r="E5" s="3"/>
      <c r="F5" s="12">
        <v>3000</v>
      </c>
      <c r="G5" s="3"/>
      <c r="H5" s="13">
        <f>B11+D11+F11</f>
        <v>125</v>
      </c>
    </row>
    <row r="6" spans="1:10" x14ac:dyDescent="0.25">
      <c r="H6" s="3" t="s">
        <v>33</v>
      </c>
    </row>
    <row r="7" spans="1:10" ht="13" x14ac:dyDescent="0.3">
      <c r="A7" s="5" t="s">
        <v>9</v>
      </c>
      <c r="B7" s="9">
        <f>B4*B5</f>
        <v>0</v>
      </c>
      <c r="C7" s="7" t="s">
        <v>34</v>
      </c>
      <c r="D7" s="9">
        <f>D4*D5</f>
        <v>0</v>
      </c>
      <c r="E7" s="7" t="s">
        <v>35</v>
      </c>
      <c r="F7" s="9">
        <f>F4*F5</f>
        <v>75</v>
      </c>
      <c r="G7" s="7" t="s">
        <v>36</v>
      </c>
    </row>
    <row r="8" spans="1:10" x14ac:dyDescent="0.25">
      <c r="B8" s="3"/>
      <c r="C8" s="3"/>
      <c r="D8" s="3"/>
      <c r="E8" s="3"/>
      <c r="F8" s="3"/>
      <c r="G8" s="3"/>
    </row>
    <row r="9" spans="1:10" ht="13" x14ac:dyDescent="0.3">
      <c r="A9" s="5" t="s">
        <v>10</v>
      </c>
      <c r="B9" s="9">
        <f>IF($B$5&gt;0,C4,0)</f>
        <v>0</v>
      </c>
      <c r="C9" s="7" t="s">
        <v>55</v>
      </c>
      <c r="D9" s="9">
        <f>IF($D$5&gt;0,E4,0)</f>
        <v>0</v>
      </c>
      <c r="E9" s="7" t="s">
        <v>37</v>
      </c>
      <c r="F9" s="9">
        <f>IF($F$5&gt;0,G4,0)</f>
        <v>50</v>
      </c>
      <c r="G9" s="7" t="s">
        <v>38</v>
      </c>
    </row>
    <row r="10" spans="1:10" ht="13" x14ac:dyDescent="0.3">
      <c r="H10" s="8" t="s">
        <v>13</v>
      </c>
      <c r="J10" s="8" t="s">
        <v>5</v>
      </c>
    </row>
    <row r="11" spans="1:10" ht="13" x14ac:dyDescent="0.3">
      <c r="A11" s="5" t="s">
        <v>14</v>
      </c>
      <c r="B11" s="9">
        <f>B7+B9</f>
        <v>0</v>
      </c>
      <c r="C11" s="7" t="s">
        <v>39</v>
      </c>
      <c r="D11" s="9">
        <f>D7+D9</f>
        <v>0</v>
      </c>
      <c r="E11" s="3" t="s">
        <v>40</v>
      </c>
      <c r="F11" s="9">
        <f>F7+F9</f>
        <v>125</v>
      </c>
      <c r="G11" s="1" t="s">
        <v>41</v>
      </c>
      <c r="H11" s="10">
        <f>B5+D5+F5</f>
        <v>3000</v>
      </c>
      <c r="I11" s="14" t="s">
        <v>42</v>
      </c>
      <c r="J11" s="3">
        <v>3000</v>
      </c>
    </row>
    <row r="12" spans="1:10" x14ac:dyDescent="0.25">
      <c r="B12" s="3"/>
      <c r="C12" s="3"/>
      <c r="D12" s="3"/>
      <c r="E12" s="3"/>
      <c r="F12" s="3"/>
      <c r="G12" s="3"/>
      <c r="H12" s="3" t="s">
        <v>43</v>
      </c>
      <c r="J12" s="3"/>
    </row>
    <row r="13" spans="1:10" x14ac:dyDescent="0.25">
      <c r="A13" s="1" t="s">
        <v>8</v>
      </c>
      <c r="B13" s="3"/>
      <c r="C13" s="3"/>
      <c r="D13" s="3"/>
      <c r="E13" s="3"/>
      <c r="F13" s="3"/>
      <c r="G13" s="3"/>
      <c r="H13" s="3"/>
    </row>
    <row r="14" spans="1:10" x14ac:dyDescent="0.25">
      <c r="B14" s="3"/>
      <c r="C14" s="3"/>
      <c r="D14" s="3"/>
      <c r="E14" s="3"/>
      <c r="F14" s="3"/>
      <c r="G14" s="3"/>
      <c r="H14" s="3"/>
    </row>
    <row r="16" spans="1:10" ht="13" x14ac:dyDescent="0.3">
      <c r="G16" s="5"/>
    </row>
    <row r="17" spans="7:8" x14ac:dyDescent="0.25">
      <c r="G17" s="6"/>
      <c r="H17" s="3"/>
    </row>
  </sheetData>
  <mergeCells count="3">
    <mergeCell ref="B3:C3"/>
    <mergeCell ref="D3:E3"/>
    <mergeCell ref="F3:G3"/>
  </mergeCells>
  <phoneticPr fontId="8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9186-DB31-48AF-A3A5-0F85D9548F42}">
  <dimension ref="A1:J17"/>
  <sheetViews>
    <sheetView workbookViewId="0">
      <selection activeCell="H35" sqref="H35"/>
    </sheetView>
  </sheetViews>
  <sheetFormatPr defaultColWidth="9" defaultRowHeight="12.5" x14ac:dyDescent="0.25"/>
  <cols>
    <col min="1" max="1" width="18.54296875" style="1" customWidth="1"/>
    <col min="2" max="2" width="10" style="1" bestFit="1" customWidth="1"/>
    <col min="3" max="3" width="15.54296875" style="1" customWidth="1"/>
    <col min="4" max="4" width="9.26953125" style="1" bestFit="1" customWidth="1"/>
    <col min="5" max="5" width="15.54296875" style="1" customWidth="1"/>
    <col min="6" max="6" width="9.26953125" style="1" bestFit="1" customWidth="1"/>
    <col min="7" max="7" width="15.54296875" style="1" customWidth="1"/>
    <col min="8" max="8" width="21" style="1" customWidth="1"/>
    <col min="9" max="9" width="5.26953125" style="1" customWidth="1"/>
    <col min="10" max="10" width="15" style="1" customWidth="1"/>
    <col min="11" max="16384" width="9" style="1"/>
  </cols>
  <sheetData>
    <row r="1" spans="1:10" ht="18" x14ac:dyDescent="0.4">
      <c r="A1" s="2" t="s">
        <v>11</v>
      </c>
    </row>
    <row r="3" spans="1:10" ht="13" x14ac:dyDescent="0.3">
      <c r="B3" s="24" t="s">
        <v>2</v>
      </c>
      <c r="C3" s="24"/>
      <c r="D3" s="24" t="s">
        <v>3</v>
      </c>
      <c r="E3" s="24"/>
      <c r="F3" s="24" t="s">
        <v>4</v>
      </c>
      <c r="G3" s="24"/>
      <c r="H3" s="8" t="s">
        <v>0</v>
      </c>
    </row>
    <row r="4" spans="1:10" x14ac:dyDescent="0.25">
      <c r="B4" s="3">
        <v>0.05</v>
      </c>
      <c r="C4" s="3">
        <v>10</v>
      </c>
      <c r="D4" s="3">
        <v>0.03</v>
      </c>
      <c r="E4" s="3">
        <v>20</v>
      </c>
      <c r="F4" s="3">
        <v>2.5000000000000001E-2</v>
      </c>
      <c r="G4" s="3">
        <v>25</v>
      </c>
    </row>
    <row r="5" spans="1:10" ht="13" x14ac:dyDescent="0.3">
      <c r="A5" s="5" t="s">
        <v>12</v>
      </c>
      <c r="B5" s="12">
        <v>0</v>
      </c>
      <c r="C5" s="3"/>
      <c r="D5" s="12">
        <v>0</v>
      </c>
      <c r="E5" s="3"/>
      <c r="F5" s="12">
        <v>3000</v>
      </c>
      <c r="G5" s="3"/>
      <c r="H5" s="13">
        <f>B11+D11+F11</f>
        <v>100</v>
      </c>
    </row>
    <row r="6" spans="1:10" x14ac:dyDescent="0.25">
      <c r="H6" s="3" t="s">
        <v>33</v>
      </c>
    </row>
    <row r="7" spans="1:10" ht="13" x14ac:dyDescent="0.3">
      <c r="A7" s="5" t="s">
        <v>9</v>
      </c>
      <c r="B7" s="9">
        <f>B4*B5</f>
        <v>0</v>
      </c>
      <c r="C7" s="7" t="s">
        <v>34</v>
      </c>
      <c r="D7" s="9">
        <f>D4*D5</f>
        <v>0</v>
      </c>
      <c r="E7" s="7" t="s">
        <v>35</v>
      </c>
      <c r="F7" s="9">
        <f>F4*F5</f>
        <v>75</v>
      </c>
      <c r="G7" s="7" t="s">
        <v>36</v>
      </c>
    </row>
    <row r="8" spans="1:10" x14ac:dyDescent="0.25">
      <c r="B8" s="3"/>
      <c r="C8" s="3"/>
      <c r="D8" s="3"/>
      <c r="E8" s="3"/>
      <c r="F8" s="3"/>
      <c r="G8" s="3"/>
    </row>
    <row r="9" spans="1:10" ht="13" x14ac:dyDescent="0.3">
      <c r="A9" s="5" t="s">
        <v>10</v>
      </c>
      <c r="B9" s="9">
        <f>IF($B$5&gt;0,C4,0)</f>
        <v>0</v>
      </c>
      <c r="C9" s="7" t="s">
        <v>55</v>
      </c>
      <c r="D9" s="9">
        <f>IF($D$5&gt;0,E4,0)</f>
        <v>0</v>
      </c>
      <c r="E9" s="7" t="s">
        <v>37</v>
      </c>
      <c r="F9" s="9">
        <f>IF($F$5&gt;0,G4,0)</f>
        <v>25</v>
      </c>
      <c r="G9" s="7" t="s">
        <v>38</v>
      </c>
    </row>
    <row r="10" spans="1:10" ht="13" x14ac:dyDescent="0.3">
      <c r="H10" s="8" t="s">
        <v>13</v>
      </c>
      <c r="J10" s="8" t="s">
        <v>5</v>
      </c>
    </row>
    <row r="11" spans="1:10" ht="13" x14ac:dyDescent="0.3">
      <c r="A11" s="5" t="s">
        <v>14</v>
      </c>
      <c r="B11" s="9">
        <f>B7+B9</f>
        <v>0</v>
      </c>
      <c r="C11" s="7" t="s">
        <v>39</v>
      </c>
      <c r="D11" s="9">
        <f>D7+D9</f>
        <v>0</v>
      </c>
      <c r="E11" s="3" t="s">
        <v>40</v>
      </c>
      <c r="F11" s="9">
        <f>F7+F9</f>
        <v>100</v>
      </c>
      <c r="G11" s="1" t="s">
        <v>41</v>
      </c>
      <c r="H11" s="10">
        <f>B5+D5+F5</f>
        <v>3000</v>
      </c>
      <c r="I11" s="14" t="s">
        <v>42</v>
      </c>
      <c r="J11" s="3">
        <v>3000</v>
      </c>
    </row>
    <row r="12" spans="1:10" x14ac:dyDescent="0.25">
      <c r="B12" s="3"/>
      <c r="C12" s="3"/>
      <c r="D12" s="3"/>
      <c r="E12" s="3"/>
      <c r="F12" s="3"/>
      <c r="G12" s="3"/>
      <c r="H12" s="3" t="s">
        <v>43</v>
      </c>
      <c r="J12" s="3"/>
    </row>
    <row r="13" spans="1:10" x14ac:dyDescent="0.25">
      <c r="A13" s="1" t="s">
        <v>8</v>
      </c>
      <c r="B13" s="3"/>
      <c r="C13" s="3"/>
      <c r="D13" s="3"/>
      <c r="E13" s="3"/>
      <c r="F13" s="3"/>
      <c r="G13" s="3"/>
      <c r="H13" s="3"/>
    </row>
    <row r="14" spans="1:10" x14ac:dyDescent="0.25">
      <c r="B14" s="3"/>
      <c r="C14" s="3"/>
      <c r="D14" s="3"/>
      <c r="E14" s="3"/>
      <c r="F14" s="3"/>
      <c r="G14" s="3"/>
      <c r="H14" s="3"/>
    </row>
    <row r="16" spans="1:10" ht="13" x14ac:dyDescent="0.3">
      <c r="G16" s="5"/>
    </row>
    <row r="17" spans="7:8" x14ac:dyDescent="0.25">
      <c r="G17" s="6"/>
      <c r="H17" s="3"/>
    </row>
  </sheetData>
  <mergeCells count="3">
    <mergeCell ref="B3:C3"/>
    <mergeCell ref="D3:E3"/>
    <mergeCell ref="F3:G3"/>
  </mergeCells>
  <phoneticPr fontId="8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CE42-DAD3-4068-ADA1-D200FF04B9DC}">
  <dimension ref="A1:I21"/>
  <sheetViews>
    <sheetView workbookViewId="0">
      <selection activeCell="C7" sqref="C7"/>
    </sheetView>
  </sheetViews>
  <sheetFormatPr defaultColWidth="8.7265625" defaultRowHeight="12.5" x14ac:dyDescent="0.25"/>
  <cols>
    <col min="1" max="1" width="18.453125" style="1" customWidth="1"/>
    <col min="2" max="2" width="10" style="1" bestFit="1" customWidth="1"/>
    <col min="3" max="3" width="15.54296875" style="1" customWidth="1"/>
    <col min="4" max="4" width="9.26953125" style="1" bestFit="1" customWidth="1"/>
    <col min="5" max="5" width="15.54296875" style="1" customWidth="1"/>
    <col min="6" max="6" width="10.54296875" style="1" customWidth="1"/>
    <col min="7" max="7" width="15.54296875" style="1" customWidth="1"/>
    <col min="8" max="8" width="6" style="1" customWidth="1"/>
    <col min="9" max="9" width="15.54296875" style="1" customWidth="1"/>
    <col min="10" max="10" width="12.26953125" style="1" customWidth="1"/>
    <col min="11" max="16384" width="8.7265625" style="1"/>
  </cols>
  <sheetData>
    <row r="1" spans="1:9" ht="18" x14ac:dyDescent="0.4">
      <c r="A1" s="2" t="s">
        <v>1</v>
      </c>
    </row>
    <row r="3" spans="1:9" ht="13" x14ac:dyDescent="0.3">
      <c r="B3" s="24" t="s">
        <v>2</v>
      </c>
      <c r="C3" s="24"/>
      <c r="D3" s="24" t="s">
        <v>3</v>
      </c>
      <c r="E3" s="24"/>
      <c r="F3" s="24" t="s">
        <v>4</v>
      </c>
      <c r="G3" s="24"/>
      <c r="I3" s="8" t="s">
        <v>0</v>
      </c>
    </row>
    <row r="4" spans="1:9" x14ac:dyDescent="0.25">
      <c r="B4" s="3">
        <v>0.05</v>
      </c>
      <c r="C4" s="3">
        <v>10</v>
      </c>
      <c r="D4" s="3">
        <v>0.03</v>
      </c>
      <c r="E4" s="3">
        <v>20</v>
      </c>
      <c r="F4" s="3">
        <v>2.5000000000000001E-2</v>
      </c>
      <c r="G4" s="3">
        <v>25</v>
      </c>
      <c r="H4" s="4"/>
    </row>
    <row r="5" spans="1:9" ht="13" x14ac:dyDescent="0.3">
      <c r="A5" s="5" t="s">
        <v>12</v>
      </c>
      <c r="B5" s="12">
        <v>0</v>
      </c>
      <c r="C5" s="12">
        <v>0</v>
      </c>
      <c r="D5" s="12">
        <v>0</v>
      </c>
      <c r="E5" s="12">
        <v>0</v>
      </c>
      <c r="F5" s="12">
        <v>3000</v>
      </c>
      <c r="G5" s="12">
        <v>1</v>
      </c>
      <c r="I5" s="13">
        <f>B7+D7+F7</f>
        <v>100</v>
      </c>
    </row>
    <row r="6" spans="1:9" x14ac:dyDescent="0.25">
      <c r="I6" s="3" t="s">
        <v>44</v>
      </c>
    </row>
    <row r="7" spans="1:9" ht="13" x14ac:dyDescent="0.3">
      <c r="A7" s="5" t="s">
        <v>14</v>
      </c>
      <c r="B7" s="9">
        <f>B4*B5+C4*C5</f>
        <v>0</v>
      </c>
      <c r="C7" s="3" t="s">
        <v>45</v>
      </c>
      <c r="D7" s="9">
        <f>D4*D5+E4*E5</f>
        <v>0</v>
      </c>
      <c r="E7" s="3" t="s">
        <v>46</v>
      </c>
      <c r="F7" s="9">
        <f>F4*F5+G4*G5</f>
        <v>100</v>
      </c>
      <c r="G7" s="3" t="s">
        <v>47</v>
      </c>
    </row>
    <row r="8" spans="1:9" x14ac:dyDescent="0.25">
      <c r="B8" s="3"/>
      <c r="C8" s="3"/>
      <c r="D8" s="3"/>
      <c r="E8" s="3"/>
      <c r="F8" s="3"/>
      <c r="G8" s="3"/>
    </row>
    <row r="9" spans="1:9" x14ac:dyDescent="0.25">
      <c r="B9" s="3"/>
      <c r="C9" s="3"/>
      <c r="D9" s="3"/>
      <c r="E9" s="3"/>
      <c r="F9" s="3"/>
      <c r="G9" s="3"/>
    </row>
    <row r="10" spans="1:9" ht="13" x14ac:dyDescent="0.3">
      <c r="G10" s="8" t="s">
        <v>13</v>
      </c>
      <c r="I10" s="8" t="s">
        <v>5</v>
      </c>
    </row>
    <row r="11" spans="1:9" x14ac:dyDescent="0.25">
      <c r="B11" s="3"/>
      <c r="C11" s="3"/>
      <c r="D11" s="3"/>
      <c r="E11" s="3"/>
      <c r="F11" s="3"/>
      <c r="G11" s="9">
        <f>B5+D5+F5</f>
        <v>3000</v>
      </c>
      <c r="H11" s="3" t="s">
        <v>6</v>
      </c>
      <c r="I11" s="3">
        <v>3000</v>
      </c>
    </row>
    <row r="12" spans="1:9" x14ac:dyDescent="0.25">
      <c r="B12" s="3"/>
      <c r="C12" s="3"/>
      <c r="D12" s="3"/>
      <c r="E12" s="3"/>
      <c r="F12" s="3"/>
      <c r="G12" s="3" t="s">
        <v>43</v>
      </c>
      <c r="H12" s="3"/>
      <c r="I12" s="3" t="s">
        <v>7</v>
      </c>
    </row>
    <row r="13" spans="1:9" x14ac:dyDescent="0.25">
      <c r="A13" s="1" t="s">
        <v>8</v>
      </c>
      <c r="B13" s="3"/>
      <c r="C13" s="3"/>
      <c r="D13" s="3"/>
      <c r="E13" s="3"/>
      <c r="F13" s="3"/>
      <c r="G13" s="3"/>
      <c r="H13" s="3"/>
    </row>
    <row r="14" spans="1:9" ht="13" x14ac:dyDescent="0.3">
      <c r="B14" s="3"/>
      <c r="C14" s="3"/>
      <c r="D14" s="3"/>
      <c r="E14" s="3"/>
      <c r="F14" s="3"/>
      <c r="G14" s="24" t="s">
        <v>15</v>
      </c>
      <c r="H14" s="24"/>
      <c r="I14" s="24"/>
    </row>
    <row r="15" spans="1:9" x14ac:dyDescent="0.25">
      <c r="F15" s="7" t="s">
        <v>16</v>
      </c>
      <c r="G15" s="9">
        <f>B5</f>
        <v>0</v>
      </c>
      <c r="H15" s="3" t="s">
        <v>17</v>
      </c>
      <c r="I15" s="9">
        <f>I11*C5</f>
        <v>0</v>
      </c>
    </row>
    <row r="16" spans="1:9" x14ac:dyDescent="0.25">
      <c r="F16" s="7" t="s">
        <v>18</v>
      </c>
      <c r="G16" s="9">
        <f>D5</f>
        <v>0</v>
      </c>
      <c r="H16" s="3" t="s">
        <v>17</v>
      </c>
      <c r="I16" s="9">
        <f>I11*E5</f>
        <v>0</v>
      </c>
    </row>
    <row r="17" spans="6:9" x14ac:dyDescent="0.25">
      <c r="F17" s="7" t="s">
        <v>19</v>
      </c>
      <c r="G17" s="9">
        <f>F5</f>
        <v>3000</v>
      </c>
      <c r="H17" s="3" t="s">
        <v>17</v>
      </c>
      <c r="I17" s="9">
        <f>I11*G5</f>
        <v>3000</v>
      </c>
    </row>
    <row r="18" spans="6:9" x14ac:dyDescent="0.25">
      <c r="F18" s="7"/>
      <c r="G18" s="15"/>
      <c r="H18" s="3"/>
      <c r="I18" s="15"/>
    </row>
    <row r="19" spans="6:9" x14ac:dyDescent="0.25">
      <c r="F19" s="7" t="s">
        <v>20</v>
      </c>
      <c r="G19" s="9">
        <f>C5</f>
        <v>0</v>
      </c>
      <c r="H19" s="3" t="s">
        <v>17</v>
      </c>
      <c r="I19" s="9">
        <f>B5</f>
        <v>0</v>
      </c>
    </row>
    <row r="20" spans="6:9" x14ac:dyDescent="0.25">
      <c r="F20" s="7" t="s">
        <v>21</v>
      </c>
      <c r="G20" s="9">
        <f>E5</f>
        <v>0</v>
      </c>
      <c r="H20" s="3" t="s">
        <v>17</v>
      </c>
      <c r="I20" s="9">
        <f>D5</f>
        <v>0</v>
      </c>
    </row>
    <row r="21" spans="6:9" x14ac:dyDescent="0.25">
      <c r="F21" s="7" t="s">
        <v>22</v>
      </c>
      <c r="G21" s="9">
        <f>G5</f>
        <v>1</v>
      </c>
      <c r="H21" s="3" t="s">
        <v>17</v>
      </c>
      <c r="I21" s="9">
        <f>F5</f>
        <v>3000</v>
      </c>
    </row>
  </sheetData>
  <mergeCells count="4">
    <mergeCell ref="B3:C3"/>
    <mergeCell ref="D3:E3"/>
    <mergeCell ref="F3:G3"/>
    <mergeCell ref="G14:I14"/>
  </mergeCells>
  <phoneticPr fontId="8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079D-36DB-4A36-BE7B-42AA99BF0AA9}">
  <dimension ref="A1:N20"/>
  <sheetViews>
    <sheetView zoomScale="90" zoomScaleNormal="90" workbookViewId="0">
      <selection activeCell="H13" sqref="H13"/>
    </sheetView>
  </sheetViews>
  <sheetFormatPr defaultColWidth="9" defaultRowHeight="12.5" x14ac:dyDescent="0.25"/>
  <cols>
    <col min="1" max="1" width="10.26953125" style="1" customWidth="1"/>
    <col min="2" max="6" width="9" style="1" customWidth="1"/>
    <col min="7" max="16384" width="9" style="1"/>
  </cols>
  <sheetData>
    <row r="1" spans="1:14" ht="18" x14ac:dyDescent="0.4">
      <c r="A1" s="2" t="s">
        <v>48</v>
      </c>
    </row>
    <row r="2" spans="1:14" ht="13.5" customHeight="1" x14ac:dyDescent="0.4">
      <c r="A2" s="2"/>
    </row>
    <row r="3" spans="1:14" ht="12.65" customHeight="1" x14ac:dyDescent="0.3">
      <c r="C3" s="24" t="s">
        <v>23</v>
      </c>
      <c r="D3" s="24"/>
      <c r="E3" s="24"/>
      <c r="F3" s="24"/>
    </row>
    <row r="4" spans="1:14" ht="13" x14ac:dyDescent="0.3">
      <c r="C4" s="8" t="s">
        <v>24</v>
      </c>
      <c r="D4" s="8" t="s">
        <v>25</v>
      </c>
      <c r="E4" s="8" t="s">
        <v>26</v>
      </c>
      <c r="F4" s="8" t="s">
        <v>27</v>
      </c>
      <c r="H4" s="1">
        <v>1</v>
      </c>
      <c r="I4" s="1">
        <v>2</v>
      </c>
      <c r="J4" s="1">
        <v>3</v>
      </c>
      <c r="K4" s="1">
        <v>4</v>
      </c>
    </row>
    <row r="5" spans="1:14" ht="13" x14ac:dyDescent="0.3">
      <c r="B5" s="11" t="s">
        <v>28</v>
      </c>
      <c r="C5" s="3">
        <v>12</v>
      </c>
      <c r="D5" s="3">
        <v>14</v>
      </c>
      <c r="E5" s="3">
        <v>20</v>
      </c>
      <c r="F5" s="3">
        <v>24</v>
      </c>
      <c r="G5" s="1" t="s">
        <v>57</v>
      </c>
      <c r="H5" s="16">
        <v>1</v>
      </c>
      <c r="I5" s="16">
        <v>0</v>
      </c>
      <c r="J5" s="16">
        <v>0</v>
      </c>
      <c r="K5" s="16">
        <v>0</v>
      </c>
      <c r="L5" s="1">
        <f>SUM(H5:K5)</f>
        <v>1</v>
      </c>
      <c r="M5" s="1" t="s">
        <v>68</v>
      </c>
      <c r="N5" s="1">
        <v>1</v>
      </c>
    </row>
    <row r="6" spans="1:14" ht="13" x14ac:dyDescent="0.3">
      <c r="B6" s="11" t="s">
        <v>29</v>
      </c>
      <c r="C6" s="3">
        <v>9</v>
      </c>
      <c r="D6" s="3">
        <v>17</v>
      </c>
      <c r="E6" s="3">
        <v>23</v>
      </c>
      <c r="F6" s="3">
        <v>27</v>
      </c>
      <c r="G6" s="1" t="s">
        <v>58</v>
      </c>
      <c r="H6" s="16">
        <v>1</v>
      </c>
      <c r="I6" s="16">
        <v>0</v>
      </c>
      <c r="J6" s="16">
        <v>0</v>
      </c>
      <c r="K6" s="16">
        <v>0</v>
      </c>
      <c r="L6" s="1">
        <f t="shared" ref="L6:L9" si="0">SUM(H6:K6)</f>
        <v>1</v>
      </c>
      <c r="M6" s="1" t="s">
        <v>68</v>
      </c>
      <c r="N6" s="1">
        <v>1</v>
      </c>
    </row>
    <row r="7" spans="1:14" ht="13" x14ac:dyDescent="0.3">
      <c r="B7" s="11" t="s">
        <v>30</v>
      </c>
      <c r="C7" s="3">
        <v>18</v>
      </c>
      <c r="D7" s="3">
        <v>10</v>
      </c>
      <c r="E7" s="3">
        <v>12</v>
      </c>
      <c r="F7" s="3">
        <v>16</v>
      </c>
      <c r="G7" s="1" t="s">
        <v>59</v>
      </c>
      <c r="H7" s="16">
        <v>0</v>
      </c>
      <c r="I7" s="16">
        <v>0</v>
      </c>
      <c r="J7" s="16">
        <v>1</v>
      </c>
      <c r="K7" s="16">
        <v>0</v>
      </c>
      <c r="L7" s="1">
        <f t="shared" si="0"/>
        <v>1</v>
      </c>
      <c r="M7" s="1" t="s">
        <v>68</v>
      </c>
      <c r="N7" s="1">
        <v>1</v>
      </c>
    </row>
    <row r="8" spans="1:14" ht="13" x14ac:dyDescent="0.3">
      <c r="B8" s="11" t="s">
        <v>31</v>
      </c>
      <c r="C8" s="3">
        <v>25</v>
      </c>
      <c r="D8" s="3">
        <v>15</v>
      </c>
      <c r="E8" s="3">
        <v>15</v>
      </c>
      <c r="F8" s="3">
        <v>15</v>
      </c>
      <c r="G8" s="1" t="s">
        <v>60</v>
      </c>
      <c r="H8" s="16">
        <v>0</v>
      </c>
      <c r="I8" s="16">
        <v>0</v>
      </c>
      <c r="J8" s="16">
        <v>1</v>
      </c>
      <c r="K8" s="16">
        <v>0</v>
      </c>
      <c r="L8" s="1">
        <f t="shared" si="0"/>
        <v>1</v>
      </c>
      <c r="M8" s="1" t="s">
        <v>68</v>
      </c>
      <c r="N8" s="1">
        <v>1</v>
      </c>
    </row>
    <row r="9" spans="1:14" ht="13" x14ac:dyDescent="0.3">
      <c r="B9" s="11" t="s">
        <v>32</v>
      </c>
      <c r="C9" s="3">
        <v>26</v>
      </c>
      <c r="D9" s="3">
        <v>16</v>
      </c>
      <c r="E9" s="3">
        <v>10</v>
      </c>
      <c r="F9" s="3">
        <v>10</v>
      </c>
      <c r="G9" s="1" t="s">
        <v>66</v>
      </c>
      <c r="H9" s="16">
        <v>0</v>
      </c>
      <c r="I9" s="16">
        <v>0</v>
      </c>
      <c r="J9" s="16">
        <v>1</v>
      </c>
      <c r="K9" s="16">
        <v>0</v>
      </c>
      <c r="L9" s="1">
        <f t="shared" si="0"/>
        <v>1</v>
      </c>
      <c r="M9" s="1" t="s">
        <v>68</v>
      </c>
      <c r="N9" s="1">
        <v>1</v>
      </c>
    </row>
    <row r="10" spans="1:14" ht="13" x14ac:dyDescent="0.3">
      <c r="B10" s="11"/>
      <c r="C10" s="3"/>
      <c r="D10" s="3"/>
      <c r="E10" s="3"/>
      <c r="F10" s="3"/>
    </row>
    <row r="11" spans="1:14" ht="13" x14ac:dyDescent="0.3">
      <c r="B11" s="11" t="s">
        <v>61</v>
      </c>
      <c r="C11" s="3" t="s">
        <v>62</v>
      </c>
      <c r="D11" s="3" t="s">
        <v>63</v>
      </c>
      <c r="E11" s="3" t="s">
        <v>64</v>
      </c>
      <c r="F11" s="3"/>
      <c r="H11" s="1">
        <f>SUM(H5:H9)</f>
        <v>2</v>
      </c>
      <c r="I11" s="1">
        <f>SUM(I5:I9)</f>
        <v>0</v>
      </c>
      <c r="J11" s="1">
        <f>SUM(J5:J9)</f>
        <v>3</v>
      </c>
      <c r="K11" s="1">
        <f>SUM(K5:K9)</f>
        <v>0</v>
      </c>
    </row>
    <row r="12" spans="1:14" ht="13" x14ac:dyDescent="0.3">
      <c r="A12" s="1" t="s">
        <v>56</v>
      </c>
      <c r="B12" s="16">
        <v>1</v>
      </c>
      <c r="C12" s="16">
        <v>0</v>
      </c>
      <c r="D12" s="16">
        <v>1</v>
      </c>
      <c r="E12" s="16">
        <v>0</v>
      </c>
      <c r="F12" s="1">
        <f>SUM(B12:E12)</f>
        <v>2</v>
      </c>
      <c r="G12" s="5"/>
      <c r="H12" s="1" t="s">
        <v>70</v>
      </c>
      <c r="I12" s="1" t="s">
        <v>69</v>
      </c>
      <c r="J12" s="1" t="s">
        <v>69</v>
      </c>
      <c r="K12" s="1" t="s">
        <v>69</v>
      </c>
    </row>
    <row r="13" spans="1:14" ht="13" x14ac:dyDescent="0.3">
      <c r="G13" s="5"/>
      <c r="H13" s="5">
        <f>B12*H14</f>
        <v>5</v>
      </c>
      <c r="I13" s="5">
        <f t="shared" ref="I13:K13" si="1">C12*I14</f>
        <v>0</v>
      </c>
      <c r="J13" s="5">
        <f t="shared" si="1"/>
        <v>5</v>
      </c>
      <c r="K13" s="5">
        <f t="shared" si="1"/>
        <v>0</v>
      </c>
    </row>
    <row r="14" spans="1:14" ht="12.65" customHeight="1" x14ac:dyDescent="0.3">
      <c r="A14" s="1" t="s">
        <v>65</v>
      </c>
      <c r="B14" s="1">
        <v>2</v>
      </c>
      <c r="G14" s="5"/>
      <c r="H14" s="5">
        <v>5</v>
      </c>
      <c r="I14" s="1">
        <v>5</v>
      </c>
      <c r="J14" s="1">
        <v>5</v>
      </c>
      <c r="K14" s="1">
        <v>5</v>
      </c>
    </row>
    <row r="15" spans="1:14" ht="13" x14ac:dyDescent="0.3">
      <c r="D15" s="8"/>
      <c r="E15" s="8"/>
      <c r="F15" s="8"/>
      <c r="G15" s="5"/>
      <c r="H15" s="5"/>
    </row>
    <row r="16" spans="1:14" ht="13" x14ac:dyDescent="0.3">
      <c r="A16" s="1" t="s">
        <v>67</v>
      </c>
      <c r="B16" s="1">
        <f>SUMPRODUCT(C5:F9,H5:K9)</f>
        <v>58</v>
      </c>
      <c r="D16" s="3"/>
      <c r="E16" s="3"/>
      <c r="F16" s="3"/>
      <c r="G16" s="5"/>
      <c r="H16" s="5"/>
    </row>
    <row r="17" spans="4:8" ht="13" x14ac:dyDescent="0.3">
      <c r="D17" s="3"/>
      <c r="E17" s="3"/>
      <c r="F17" s="3"/>
      <c r="G17" s="5"/>
      <c r="H17" s="5"/>
    </row>
    <row r="18" spans="4:8" x14ac:dyDescent="0.25">
      <c r="D18" s="3"/>
      <c r="E18" s="3"/>
      <c r="F18" s="3"/>
    </row>
    <row r="19" spans="4:8" x14ac:dyDescent="0.25">
      <c r="D19" s="3"/>
      <c r="E19" s="3"/>
      <c r="F19" s="3"/>
    </row>
    <row r="20" spans="4:8" x14ac:dyDescent="0.25">
      <c r="D20" s="3"/>
      <c r="E20" s="3"/>
      <c r="F20" s="3"/>
    </row>
  </sheetData>
  <mergeCells count="1">
    <mergeCell ref="C3:F3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9CA1-85FE-4140-97F8-B3ADA9A5EE7B}">
  <dimension ref="A1:N41"/>
  <sheetViews>
    <sheetView topLeftCell="A12" workbookViewId="0">
      <selection activeCell="G42" sqref="G42"/>
    </sheetView>
  </sheetViews>
  <sheetFormatPr defaultRowHeight="12.5" x14ac:dyDescent="0.25"/>
  <cols>
    <col min="6" max="6" width="14.1796875" customWidth="1"/>
  </cols>
  <sheetData>
    <row r="1" spans="1:13" ht="18" x14ac:dyDescent="0.4">
      <c r="A1" s="2" t="s">
        <v>49</v>
      </c>
      <c r="B1" s="1"/>
      <c r="C1" s="1"/>
      <c r="D1" s="1"/>
      <c r="E1" s="1"/>
    </row>
    <row r="2" spans="1:13" x14ac:dyDescent="0.25">
      <c r="A2" s="1"/>
      <c r="B2" s="1"/>
      <c r="C2" s="1"/>
      <c r="D2" s="1"/>
      <c r="E2" s="1"/>
    </row>
    <row r="3" spans="1:13" ht="15" x14ac:dyDescent="0.4">
      <c r="A3" s="1"/>
      <c r="B3" s="24" t="s">
        <v>50</v>
      </c>
      <c r="C3" s="25"/>
      <c r="D3" s="25"/>
      <c r="E3" s="25"/>
    </row>
    <row r="4" spans="1:13" ht="13" x14ac:dyDescent="0.3">
      <c r="A4" s="1"/>
      <c r="B4" s="8" t="s">
        <v>51</v>
      </c>
      <c r="C4" s="8" t="s">
        <v>52</v>
      </c>
      <c r="D4" s="8" t="s">
        <v>53</v>
      </c>
      <c r="E4" s="8" t="s">
        <v>54</v>
      </c>
      <c r="K4" s="18" t="s">
        <v>73</v>
      </c>
    </row>
    <row r="5" spans="1:13" ht="13" x14ac:dyDescent="0.3">
      <c r="A5" s="8">
        <v>1</v>
      </c>
      <c r="B5" s="3">
        <v>40</v>
      </c>
      <c r="C5" s="3">
        <v>16</v>
      </c>
      <c r="D5" s="3">
        <v>38</v>
      </c>
      <c r="E5" s="3">
        <v>38</v>
      </c>
      <c r="G5" s="17">
        <v>0</v>
      </c>
      <c r="H5" s="17">
        <v>0</v>
      </c>
      <c r="I5" s="17">
        <v>0</v>
      </c>
      <c r="J5" s="17">
        <v>1</v>
      </c>
      <c r="K5">
        <f t="shared" ref="K5:K22" si="0">SUM(G5:J5)</f>
        <v>1</v>
      </c>
      <c r="L5" s="18" t="s">
        <v>68</v>
      </c>
      <c r="M5">
        <v>1</v>
      </c>
    </row>
    <row r="6" spans="1:13" ht="13" x14ac:dyDescent="0.3">
      <c r="A6" s="8">
        <v>2</v>
      </c>
      <c r="B6" s="3">
        <v>91</v>
      </c>
      <c r="C6" s="3">
        <v>92</v>
      </c>
      <c r="D6" s="3">
        <v>39</v>
      </c>
      <c r="E6" s="3">
        <v>52</v>
      </c>
      <c r="G6" s="17">
        <v>0</v>
      </c>
      <c r="H6" s="17">
        <v>1</v>
      </c>
      <c r="I6" s="17">
        <v>0</v>
      </c>
      <c r="J6" s="17">
        <v>0</v>
      </c>
      <c r="K6">
        <f t="shared" si="0"/>
        <v>1</v>
      </c>
      <c r="L6" s="18" t="s">
        <v>68</v>
      </c>
      <c r="M6">
        <v>1</v>
      </c>
    </row>
    <row r="7" spans="1:13" ht="13" x14ac:dyDescent="0.3">
      <c r="A7" s="8">
        <v>3</v>
      </c>
      <c r="B7" s="3">
        <v>3</v>
      </c>
      <c r="C7" s="3">
        <v>4</v>
      </c>
      <c r="D7" s="3">
        <v>5</v>
      </c>
      <c r="E7" s="3">
        <v>7</v>
      </c>
      <c r="G7" s="17">
        <v>0</v>
      </c>
      <c r="H7" s="17">
        <v>1</v>
      </c>
      <c r="I7" s="17">
        <v>0</v>
      </c>
      <c r="J7" s="17">
        <v>0</v>
      </c>
      <c r="K7">
        <f t="shared" si="0"/>
        <v>1</v>
      </c>
      <c r="L7" s="18" t="s">
        <v>68</v>
      </c>
      <c r="M7">
        <v>1</v>
      </c>
    </row>
    <row r="8" spans="1:13" ht="13" x14ac:dyDescent="0.3">
      <c r="A8" s="8">
        <v>4</v>
      </c>
      <c r="B8" s="3">
        <v>12</v>
      </c>
      <c r="C8" s="3">
        <v>18</v>
      </c>
      <c r="D8" s="3">
        <v>40</v>
      </c>
      <c r="E8" s="3">
        <v>20</v>
      </c>
      <c r="G8" s="17">
        <v>0</v>
      </c>
      <c r="H8" s="17">
        <v>0</v>
      </c>
      <c r="I8" s="17">
        <v>1</v>
      </c>
      <c r="J8" s="17">
        <v>0</v>
      </c>
      <c r="K8">
        <f t="shared" si="0"/>
        <v>1</v>
      </c>
      <c r="L8" s="18" t="s">
        <v>68</v>
      </c>
      <c r="M8">
        <v>1</v>
      </c>
    </row>
    <row r="9" spans="1:13" ht="13" x14ac:dyDescent="0.3">
      <c r="A9" s="8">
        <v>5</v>
      </c>
      <c r="B9" s="3">
        <v>3</v>
      </c>
      <c r="C9" s="3">
        <v>6</v>
      </c>
      <c r="D9" s="3">
        <v>8</v>
      </c>
      <c r="E9" s="3">
        <v>0</v>
      </c>
      <c r="G9" s="17">
        <v>0</v>
      </c>
      <c r="H9" s="17">
        <v>0</v>
      </c>
      <c r="I9" s="17">
        <v>1</v>
      </c>
      <c r="J9" s="17">
        <v>0</v>
      </c>
      <c r="K9">
        <f t="shared" si="0"/>
        <v>1</v>
      </c>
      <c r="L9" s="18" t="s">
        <v>68</v>
      </c>
      <c r="M9">
        <v>1</v>
      </c>
    </row>
    <row r="10" spans="1:13" ht="13" x14ac:dyDescent="0.3">
      <c r="A10" s="8">
        <v>6</v>
      </c>
      <c r="B10" s="3">
        <v>18</v>
      </c>
      <c r="C10" s="3">
        <v>0</v>
      </c>
      <c r="D10" s="3">
        <v>12</v>
      </c>
      <c r="E10" s="3">
        <v>3</v>
      </c>
      <c r="G10" s="17">
        <v>1</v>
      </c>
      <c r="H10" s="17">
        <v>0</v>
      </c>
      <c r="I10" s="17">
        <v>0</v>
      </c>
      <c r="J10" s="17">
        <v>0</v>
      </c>
      <c r="K10">
        <f t="shared" si="0"/>
        <v>1</v>
      </c>
      <c r="L10" s="18" t="s">
        <v>68</v>
      </c>
      <c r="M10">
        <v>1</v>
      </c>
    </row>
    <row r="11" spans="1:13" ht="13" x14ac:dyDescent="0.3">
      <c r="A11" s="8">
        <v>7</v>
      </c>
      <c r="B11" s="3">
        <v>25</v>
      </c>
      <c r="C11" s="3">
        <v>8</v>
      </c>
      <c r="D11" s="3">
        <v>15</v>
      </c>
      <c r="E11" s="3">
        <v>4</v>
      </c>
      <c r="G11" s="17">
        <v>1</v>
      </c>
      <c r="H11" s="17">
        <v>0</v>
      </c>
      <c r="I11" s="17">
        <v>0</v>
      </c>
      <c r="J11" s="17">
        <v>0</v>
      </c>
      <c r="K11">
        <f t="shared" si="0"/>
        <v>1</v>
      </c>
      <c r="L11" s="18" t="s">
        <v>68</v>
      </c>
      <c r="M11">
        <v>1</v>
      </c>
    </row>
    <row r="12" spans="1:13" ht="13" x14ac:dyDescent="0.3">
      <c r="A12" s="8">
        <v>8</v>
      </c>
      <c r="B12" s="3">
        <v>49</v>
      </c>
      <c r="C12" s="3">
        <v>51</v>
      </c>
      <c r="D12" s="3">
        <v>40</v>
      </c>
      <c r="E12" s="3">
        <v>18</v>
      </c>
      <c r="G12" s="17">
        <v>1</v>
      </c>
      <c r="H12" s="17">
        <v>0</v>
      </c>
      <c r="I12" s="17">
        <v>0</v>
      </c>
      <c r="J12" s="17">
        <v>0</v>
      </c>
      <c r="K12">
        <f t="shared" si="0"/>
        <v>1</v>
      </c>
      <c r="L12" s="18" t="s">
        <v>68</v>
      </c>
      <c r="M12">
        <v>1</v>
      </c>
    </row>
    <row r="13" spans="1:13" ht="13" x14ac:dyDescent="0.3">
      <c r="A13" s="8">
        <v>9</v>
      </c>
      <c r="B13" s="3">
        <v>0</v>
      </c>
      <c r="C13" s="3">
        <v>10</v>
      </c>
      <c r="D13" s="3">
        <v>20</v>
      </c>
      <c r="E13" s="3">
        <v>3</v>
      </c>
      <c r="G13" s="17">
        <v>1</v>
      </c>
      <c r="H13" s="17">
        <v>0</v>
      </c>
      <c r="I13" s="17">
        <v>0</v>
      </c>
      <c r="J13" s="17">
        <v>0</v>
      </c>
      <c r="K13">
        <f t="shared" si="0"/>
        <v>1</v>
      </c>
      <c r="L13" s="18" t="s">
        <v>68</v>
      </c>
      <c r="M13">
        <v>1</v>
      </c>
    </row>
    <row r="14" spans="1:13" ht="13" x14ac:dyDescent="0.3">
      <c r="A14" s="8">
        <v>10</v>
      </c>
      <c r="B14" s="3">
        <v>8</v>
      </c>
      <c r="C14" s="3">
        <v>6</v>
      </c>
      <c r="D14" s="3">
        <v>20</v>
      </c>
      <c r="E14" s="3">
        <v>4</v>
      </c>
      <c r="G14" s="17">
        <v>0</v>
      </c>
      <c r="H14" s="17">
        <v>0</v>
      </c>
      <c r="I14" s="17">
        <v>1</v>
      </c>
      <c r="J14" s="17">
        <v>0</v>
      </c>
      <c r="K14">
        <f t="shared" si="0"/>
        <v>1</v>
      </c>
      <c r="L14" s="18" t="s">
        <v>68</v>
      </c>
      <c r="M14">
        <v>1</v>
      </c>
    </row>
    <row r="15" spans="1:13" ht="13" x14ac:dyDescent="0.3">
      <c r="A15" s="8">
        <v>11</v>
      </c>
      <c r="B15" s="3">
        <v>42</v>
      </c>
      <c r="C15" s="3">
        <v>8</v>
      </c>
      <c r="D15" s="3">
        <v>8</v>
      </c>
      <c r="E15" s="3">
        <v>6</v>
      </c>
      <c r="G15" s="17">
        <v>1</v>
      </c>
      <c r="H15" s="17">
        <v>0</v>
      </c>
      <c r="I15" s="17">
        <v>0</v>
      </c>
      <c r="J15" s="17">
        <v>0</v>
      </c>
      <c r="K15">
        <f t="shared" si="0"/>
        <v>1</v>
      </c>
      <c r="L15" s="18" t="s">
        <v>68</v>
      </c>
      <c r="M15">
        <v>1</v>
      </c>
    </row>
    <row r="16" spans="1:13" ht="13" x14ac:dyDescent="0.3">
      <c r="A16" s="8">
        <v>12</v>
      </c>
      <c r="B16" s="3">
        <v>16</v>
      </c>
      <c r="C16" s="3">
        <v>20</v>
      </c>
      <c r="D16" s="3">
        <v>12</v>
      </c>
      <c r="E16" s="3">
        <v>30</v>
      </c>
      <c r="G16" s="17">
        <v>1</v>
      </c>
      <c r="H16" s="17">
        <v>0</v>
      </c>
      <c r="I16" s="17">
        <v>0</v>
      </c>
      <c r="J16" s="17">
        <v>0</v>
      </c>
      <c r="K16">
        <f t="shared" si="0"/>
        <v>1</v>
      </c>
      <c r="L16" s="18" t="s">
        <v>68</v>
      </c>
      <c r="M16">
        <v>1</v>
      </c>
    </row>
    <row r="17" spans="1:14" ht="13" x14ac:dyDescent="0.3">
      <c r="A17" s="8">
        <v>13</v>
      </c>
      <c r="B17" s="3">
        <v>19</v>
      </c>
      <c r="C17" s="3">
        <v>47</v>
      </c>
      <c r="D17" s="3">
        <v>40</v>
      </c>
      <c r="E17" s="3">
        <v>18</v>
      </c>
      <c r="G17" s="17">
        <v>0</v>
      </c>
      <c r="H17" s="17">
        <v>1</v>
      </c>
      <c r="I17" s="17">
        <v>0</v>
      </c>
      <c r="J17" s="17">
        <v>0</v>
      </c>
      <c r="K17">
        <f t="shared" si="0"/>
        <v>1</v>
      </c>
      <c r="L17" s="18" t="s">
        <v>68</v>
      </c>
      <c r="M17">
        <v>1</v>
      </c>
    </row>
    <row r="18" spans="1:14" ht="13" x14ac:dyDescent="0.3">
      <c r="A18" s="8">
        <v>14</v>
      </c>
      <c r="B18" s="3">
        <v>8</v>
      </c>
      <c r="C18" s="3">
        <v>9</v>
      </c>
      <c r="D18" s="3">
        <v>6</v>
      </c>
      <c r="E18" s="3">
        <v>15</v>
      </c>
      <c r="G18" s="17">
        <v>0</v>
      </c>
      <c r="H18" s="17">
        <v>0</v>
      </c>
      <c r="I18" s="17">
        <v>0</v>
      </c>
      <c r="J18" s="17">
        <v>1</v>
      </c>
      <c r="K18">
        <f t="shared" si="0"/>
        <v>1</v>
      </c>
      <c r="L18" s="18" t="s">
        <v>68</v>
      </c>
      <c r="M18">
        <v>1</v>
      </c>
    </row>
    <row r="19" spans="1:14" ht="13" x14ac:dyDescent="0.3">
      <c r="A19" s="8">
        <v>15</v>
      </c>
      <c r="B19" s="3">
        <v>21</v>
      </c>
      <c r="C19" s="3">
        <v>22</v>
      </c>
      <c r="D19" s="3">
        <v>8</v>
      </c>
      <c r="E19" s="3">
        <v>38</v>
      </c>
      <c r="G19" s="17">
        <v>0</v>
      </c>
      <c r="H19" s="17">
        <v>0</v>
      </c>
      <c r="I19" s="17">
        <v>0</v>
      </c>
      <c r="J19" s="17">
        <v>1</v>
      </c>
      <c r="K19">
        <f t="shared" si="0"/>
        <v>1</v>
      </c>
      <c r="L19" s="18" t="s">
        <v>68</v>
      </c>
      <c r="M19">
        <v>1</v>
      </c>
    </row>
    <row r="20" spans="1:14" ht="13.5" x14ac:dyDescent="0.3">
      <c r="A20" s="8">
        <v>16</v>
      </c>
      <c r="B20" s="3">
        <v>6</v>
      </c>
      <c r="C20" s="3">
        <v>4</v>
      </c>
      <c r="D20" s="3">
        <v>0</v>
      </c>
      <c r="E20" s="3">
        <v>10</v>
      </c>
      <c r="G20" s="17">
        <v>0</v>
      </c>
      <c r="H20" s="17">
        <v>0</v>
      </c>
      <c r="I20" s="17">
        <v>0</v>
      </c>
      <c r="J20" s="17">
        <v>1</v>
      </c>
      <c r="K20">
        <f t="shared" si="0"/>
        <v>1</v>
      </c>
      <c r="L20" s="18" t="s">
        <v>68</v>
      </c>
      <c r="M20">
        <v>1</v>
      </c>
      <c r="N20" s="20"/>
    </row>
    <row r="21" spans="1:14" ht="13.5" x14ac:dyDescent="0.3">
      <c r="A21" s="8">
        <v>17</v>
      </c>
      <c r="B21" s="3">
        <v>17</v>
      </c>
      <c r="C21" s="3">
        <v>9</v>
      </c>
      <c r="D21" s="3">
        <v>16</v>
      </c>
      <c r="E21" s="3">
        <v>5</v>
      </c>
      <c r="G21" s="17">
        <v>1</v>
      </c>
      <c r="H21" s="17">
        <v>0</v>
      </c>
      <c r="I21" s="17">
        <v>0</v>
      </c>
      <c r="J21" s="17">
        <v>0</v>
      </c>
      <c r="K21">
        <f t="shared" si="0"/>
        <v>1</v>
      </c>
      <c r="L21" s="18" t="s">
        <v>68</v>
      </c>
      <c r="M21" s="20">
        <v>1</v>
      </c>
      <c r="N21" s="22"/>
    </row>
    <row r="22" spans="1:14" ht="13" x14ac:dyDescent="0.3">
      <c r="A22" s="8">
        <v>18</v>
      </c>
      <c r="B22" s="3">
        <v>28</v>
      </c>
      <c r="C22" s="3">
        <v>67</v>
      </c>
      <c r="D22" s="3">
        <v>21</v>
      </c>
      <c r="E22" s="3">
        <v>8</v>
      </c>
      <c r="G22" s="17">
        <v>1</v>
      </c>
      <c r="H22" s="17">
        <v>0</v>
      </c>
      <c r="I22" s="17">
        <v>0</v>
      </c>
      <c r="J22" s="17">
        <v>0</v>
      </c>
      <c r="K22">
        <f t="shared" si="0"/>
        <v>1</v>
      </c>
      <c r="L22" s="18" t="s">
        <v>68</v>
      </c>
      <c r="M22">
        <v>1</v>
      </c>
    </row>
    <row r="23" spans="1:14" ht="13" x14ac:dyDescent="0.3">
      <c r="A23" s="8"/>
      <c r="B23" s="3"/>
      <c r="C23" s="3"/>
      <c r="D23" s="3"/>
      <c r="E23" s="3"/>
      <c r="G23">
        <f>SUM(G5:G22)</f>
        <v>8</v>
      </c>
      <c r="H23">
        <f t="shared" ref="H23:J23" si="1">SUM(H5:H22)</f>
        <v>3</v>
      </c>
      <c r="I23">
        <f t="shared" si="1"/>
        <v>3</v>
      </c>
      <c r="J23">
        <f t="shared" si="1"/>
        <v>4</v>
      </c>
    </row>
    <row r="24" spans="1:14" x14ac:dyDescent="0.25">
      <c r="G24" s="18" t="s">
        <v>71</v>
      </c>
      <c r="H24" t="s">
        <v>42</v>
      </c>
      <c r="I24" t="s">
        <v>42</v>
      </c>
      <c r="J24" t="s">
        <v>42</v>
      </c>
    </row>
    <row r="25" spans="1:14" ht="13" x14ac:dyDescent="0.3">
      <c r="F25" s="21" t="s">
        <v>74</v>
      </c>
      <c r="G25">
        <v>2</v>
      </c>
      <c r="H25">
        <v>2</v>
      </c>
      <c r="I25">
        <v>2</v>
      </c>
      <c r="J25">
        <v>2</v>
      </c>
    </row>
    <row r="27" spans="1:14" x14ac:dyDescent="0.25">
      <c r="H27" s="18" t="s">
        <v>70</v>
      </c>
      <c r="I27" t="s">
        <v>69</v>
      </c>
    </row>
    <row r="28" spans="1:14" ht="13" x14ac:dyDescent="0.25">
      <c r="F28" s="20" t="s">
        <v>75</v>
      </c>
      <c r="H28">
        <v>3</v>
      </c>
      <c r="I28">
        <v>3</v>
      </c>
    </row>
    <row r="29" spans="1:14" ht="13" x14ac:dyDescent="0.25">
      <c r="F29" s="18" t="s">
        <v>76</v>
      </c>
      <c r="G29">
        <f>SUM(G14:G15)</f>
        <v>1</v>
      </c>
      <c r="H29">
        <f t="shared" ref="H29:J29" si="2">SUM(H14:H15)</f>
        <v>0</v>
      </c>
      <c r="I29">
        <f t="shared" si="2"/>
        <v>1</v>
      </c>
      <c r="J29">
        <f t="shared" si="2"/>
        <v>0</v>
      </c>
    </row>
    <row r="30" spans="1:14" x14ac:dyDescent="0.25">
      <c r="G30" s="18" t="s">
        <v>70</v>
      </c>
      <c r="H30" s="18" t="s">
        <v>72</v>
      </c>
      <c r="I30" s="18" t="s">
        <v>72</v>
      </c>
      <c r="J30" s="18" t="s">
        <v>72</v>
      </c>
    </row>
    <row r="31" spans="1:14" x14ac:dyDescent="0.25">
      <c r="G31">
        <v>1</v>
      </c>
      <c r="H31">
        <v>1</v>
      </c>
      <c r="I31">
        <v>1</v>
      </c>
      <c r="J31">
        <v>1</v>
      </c>
    </row>
    <row r="32" spans="1:14" ht="13" x14ac:dyDescent="0.25">
      <c r="F32" s="18" t="s">
        <v>77</v>
      </c>
      <c r="G32" s="19">
        <f>SUM(G22,J22)</f>
        <v>1</v>
      </c>
      <c r="H32" s="18" t="s">
        <v>71</v>
      </c>
      <c r="I32">
        <v>1</v>
      </c>
    </row>
    <row r="34" spans="6:10" ht="13" x14ac:dyDescent="0.25">
      <c r="F34" s="23" t="s">
        <v>78</v>
      </c>
      <c r="H34" s="18">
        <f>SUM(H5:H9)</f>
        <v>2</v>
      </c>
      <c r="I34" s="18">
        <f>SUM(I5:I9)</f>
        <v>2</v>
      </c>
      <c r="J34" s="18"/>
    </row>
    <row r="35" spans="6:10" x14ac:dyDescent="0.25">
      <c r="H35" s="18" t="s">
        <v>68</v>
      </c>
      <c r="I35" s="18" t="s">
        <v>68</v>
      </c>
    </row>
    <row r="36" spans="6:10" x14ac:dyDescent="0.25">
      <c r="F36" s="18"/>
      <c r="H36">
        <v>2</v>
      </c>
      <c r="I36">
        <v>2</v>
      </c>
    </row>
    <row r="38" spans="6:10" ht="13" x14ac:dyDescent="0.25">
      <c r="F38" s="20" t="s">
        <v>79</v>
      </c>
      <c r="G38" s="17">
        <v>0</v>
      </c>
    </row>
    <row r="39" spans="6:10" x14ac:dyDescent="0.25">
      <c r="F39" s="18" t="s">
        <v>80</v>
      </c>
      <c r="G39">
        <f>G23</f>
        <v>8</v>
      </c>
    </row>
    <row r="40" spans="6:10" x14ac:dyDescent="0.25">
      <c r="G40">
        <f>4*G38+8*(1-G38)</f>
        <v>8</v>
      </c>
    </row>
    <row r="41" spans="6:10" x14ac:dyDescent="0.25">
      <c r="F41" s="18" t="s">
        <v>81</v>
      </c>
      <c r="G41">
        <f>SUMPRODUCT(B5:E22,G5:J22)</f>
        <v>507</v>
      </c>
    </row>
  </sheetData>
  <mergeCells count="1">
    <mergeCell ref="B3:E3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DD1C-439C-45E6-9FDF-374A49120CC0}">
  <dimension ref="A1:O11"/>
  <sheetViews>
    <sheetView workbookViewId="0">
      <selection activeCell="H12" sqref="H12"/>
    </sheetView>
  </sheetViews>
  <sheetFormatPr defaultRowHeight="12.5" x14ac:dyDescent="0.25"/>
  <cols>
    <col min="1" max="1" width="11.08984375" customWidth="1"/>
  </cols>
  <sheetData>
    <row r="1" spans="1:15" x14ac:dyDescent="0.25">
      <c r="A1" s="18" t="s">
        <v>82</v>
      </c>
      <c r="B1" s="18" t="s">
        <v>87</v>
      </c>
      <c r="C1" s="18" t="s">
        <v>88</v>
      </c>
      <c r="D1" s="18" t="s">
        <v>89</v>
      </c>
      <c r="E1" s="18" t="s">
        <v>90</v>
      </c>
      <c r="F1" s="18" t="s">
        <v>91</v>
      </c>
    </row>
    <row r="2" spans="1:15" x14ac:dyDescent="0.25">
      <c r="A2" s="18" t="s">
        <v>83</v>
      </c>
      <c r="B2">
        <v>37.700000000000003</v>
      </c>
      <c r="C2">
        <v>32.9</v>
      </c>
      <c r="D2">
        <v>33.799999999999997</v>
      </c>
      <c r="E2">
        <v>37</v>
      </c>
      <c r="F2">
        <v>35.4</v>
      </c>
      <c r="H2" s="17">
        <v>0</v>
      </c>
      <c r="I2" s="17">
        <v>0</v>
      </c>
      <c r="J2" s="17">
        <v>1</v>
      </c>
      <c r="K2" s="17">
        <v>0</v>
      </c>
      <c r="L2" s="17">
        <v>0</v>
      </c>
      <c r="M2">
        <f>SUM(H2:L2)</f>
        <v>1</v>
      </c>
      <c r="N2" s="18" t="s">
        <v>68</v>
      </c>
      <c r="O2">
        <v>1</v>
      </c>
    </row>
    <row r="3" spans="1:15" x14ac:dyDescent="0.25">
      <c r="A3" s="18" t="s">
        <v>84</v>
      </c>
      <c r="B3">
        <v>43.4</v>
      </c>
      <c r="C3">
        <v>33.1</v>
      </c>
      <c r="D3">
        <v>42.2</v>
      </c>
      <c r="E3">
        <v>34.700000000000003</v>
      </c>
      <c r="F3">
        <v>41.8</v>
      </c>
      <c r="H3" s="17">
        <v>0</v>
      </c>
      <c r="I3" s="17">
        <v>0</v>
      </c>
      <c r="J3" s="17">
        <v>0</v>
      </c>
      <c r="K3" s="17">
        <v>1</v>
      </c>
      <c r="L3" s="17">
        <v>0</v>
      </c>
      <c r="M3">
        <f t="shared" ref="M3:M5" si="0">SUM(H3:L3)</f>
        <v>1</v>
      </c>
      <c r="N3" s="18" t="s">
        <v>68</v>
      </c>
      <c r="O3">
        <v>1</v>
      </c>
    </row>
    <row r="4" spans="1:15" x14ac:dyDescent="0.25">
      <c r="A4" s="18" t="s">
        <v>85</v>
      </c>
      <c r="B4">
        <v>33.299999999999997</v>
      </c>
      <c r="C4">
        <v>28.5</v>
      </c>
      <c r="D4">
        <v>38.9</v>
      </c>
      <c r="E4">
        <v>30.4</v>
      </c>
      <c r="F4">
        <v>33.6</v>
      </c>
      <c r="H4" s="17">
        <v>0</v>
      </c>
      <c r="I4" s="17">
        <v>1</v>
      </c>
      <c r="J4" s="17">
        <v>0</v>
      </c>
      <c r="K4" s="17">
        <v>0</v>
      </c>
      <c r="L4" s="17">
        <v>0</v>
      </c>
      <c r="M4">
        <f t="shared" si="0"/>
        <v>1</v>
      </c>
      <c r="N4" s="18" t="s">
        <v>68</v>
      </c>
      <c r="O4">
        <v>1</v>
      </c>
    </row>
    <row r="5" spans="1:15" x14ac:dyDescent="0.25">
      <c r="A5" s="18" t="s">
        <v>86</v>
      </c>
      <c r="B5">
        <v>29.2</v>
      </c>
      <c r="C5">
        <v>26.4</v>
      </c>
      <c r="D5">
        <v>29.6</v>
      </c>
      <c r="E5">
        <v>28.5</v>
      </c>
      <c r="F5">
        <v>31.1</v>
      </c>
      <c r="H5" s="17">
        <v>1</v>
      </c>
      <c r="I5" s="17">
        <v>0</v>
      </c>
      <c r="J5" s="17">
        <v>0</v>
      </c>
      <c r="K5" s="17">
        <v>0</v>
      </c>
      <c r="L5" s="17">
        <v>0</v>
      </c>
      <c r="M5">
        <f t="shared" si="0"/>
        <v>1</v>
      </c>
      <c r="N5" s="18" t="s">
        <v>68</v>
      </c>
      <c r="O5">
        <v>1</v>
      </c>
    </row>
    <row r="6" spans="1:15" x14ac:dyDescent="0.25">
      <c r="H6">
        <f>SUM(H2:H5)</f>
        <v>1</v>
      </c>
      <c r="I6">
        <f t="shared" ref="I6:L6" si="1">SUM(I2:I5)</f>
        <v>1</v>
      </c>
      <c r="J6">
        <f t="shared" si="1"/>
        <v>1</v>
      </c>
      <c r="K6">
        <f t="shared" si="1"/>
        <v>1</v>
      </c>
      <c r="L6">
        <f t="shared" si="1"/>
        <v>0</v>
      </c>
    </row>
    <row r="7" spans="1:15" x14ac:dyDescent="0.25">
      <c r="H7" s="18" t="s">
        <v>70</v>
      </c>
      <c r="I7" s="18" t="s">
        <v>70</v>
      </c>
      <c r="J7" s="18" t="s">
        <v>70</v>
      </c>
      <c r="K7" s="18" t="s">
        <v>70</v>
      </c>
      <c r="L7" s="18" t="s">
        <v>70</v>
      </c>
    </row>
    <row r="8" spans="1:15" x14ac:dyDescent="0.25">
      <c r="H8">
        <v>1</v>
      </c>
      <c r="I8">
        <v>1</v>
      </c>
      <c r="J8">
        <v>1</v>
      </c>
      <c r="K8">
        <v>1</v>
      </c>
      <c r="L8">
        <v>1</v>
      </c>
    </row>
    <row r="11" spans="1:15" x14ac:dyDescent="0.25">
      <c r="G11" s="18" t="s">
        <v>92</v>
      </c>
      <c r="H11">
        <f>SUMPRODUCT(H2:L5,B2:F5)</f>
        <v>126.2</v>
      </c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475C-C6F5-432C-A479-921706C74D7C}">
  <dimension ref="A1:N41"/>
  <sheetViews>
    <sheetView topLeftCell="A12" workbookViewId="0">
      <selection activeCell="G42" sqref="G42"/>
    </sheetView>
  </sheetViews>
  <sheetFormatPr defaultRowHeight="12.5" x14ac:dyDescent="0.25"/>
  <cols>
    <col min="6" max="6" width="14.1796875" customWidth="1"/>
  </cols>
  <sheetData>
    <row r="1" spans="1:13" ht="18" x14ac:dyDescent="0.4">
      <c r="A1" s="2" t="s">
        <v>49</v>
      </c>
      <c r="B1" s="1"/>
      <c r="C1" s="1"/>
      <c r="D1" s="1"/>
      <c r="E1" s="1"/>
    </row>
    <row r="2" spans="1:13" x14ac:dyDescent="0.25">
      <c r="A2" s="1"/>
      <c r="B2" s="1"/>
      <c r="C2" s="1"/>
      <c r="D2" s="1"/>
      <c r="E2" s="1"/>
    </row>
    <row r="3" spans="1:13" ht="15" x14ac:dyDescent="0.4">
      <c r="A3" s="1"/>
      <c r="B3" s="24" t="s">
        <v>50</v>
      </c>
      <c r="C3" s="25"/>
      <c r="D3" s="25"/>
      <c r="E3" s="25"/>
    </row>
    <row r="4" spans="1:13" ht="13" x14ac:dyDescent="0.3">
      <c r="A4" s="1"/>
      <c r="B4" s="8" t="s">
        <v>51</v>
      </c>
      <c r="C4" s="8" t="s">
        <v>52</v>
      </c>
      <c r="D4" s="8" t="s">
        <v>53</v>
      </c>
      <c r="E4" s="8" t="s">
        <v>54</v>
      </c>
      <c r="K4" s="18" t="s">
        <v>73</v>
      </c>
    </row>
    <row r="5" spans="1:13" ht="13" x14ac:dyDescent="0.3">
      <c r="A5" s="8">
        <v>1</v>
      </c>
      <c r="B5" s="3">
        <v>40</v>
      </c>
      <c r="C5" s="3">
        <v>16</v>
      </c>
      <c r="D5" s="3">
        <v>38</v>
      </c>
      <c r="E5" s="3">
        <v>38</v>
      </c>
      <c r="G5" s="17">
        <v>1</v>
      </c>
      <c r="H5" s="17">
        <v>0</v>
      </c>
      <c r="I5" s="17">
        <v>0</v>
      </c>
      <c r="J5" s="17">
        <v>0</v>
      </c>
      <c r="K5">
        <f t="shared" ref="K5:K22" si="0">SUM(G5:J5)</f>
        <v>1</v>
      </c>
      <c r="L5" s="18" t="s">
        <v>68</v>
      </c>
      <c r="M5">
        <v>1</v>
      </c>
    </row>
    <row r="6" spans="1:13" ht="13" x14ac:dyDescent="0.3">
      <c r="A6" s="8">
        <v>2</v>
      </c>
      <c r="B6" s="3">
        <v>91</v>
      </c>
      <c r="C6" s="3">
        <v>92</v>
      </c>
      <c r="D6" s="3">
        <v>39</v>
      </c>
      <c r="E6" s="3">
        <v>52</v>
      </c>
      <c r="G6" s="17">
        <v>0</v>
      </c>
      <c r="H6" s="17">
        <v>1</v>
      </c>
      <c r="I6" s="17">
        <v>0</v>
      </c>
      <c r="J6" s="17">
        <v>0</v>
      </c>
      <c r="K6">
        <f t="shared" si="0"/>
        <v>1</v>
      </c>
      <c r="L6" s="18" t="s">
        <v>68</v>
      </c>
      <c r="M6">
        <v>1</v>
      </c>
    </row>
    <row r="7" spans="1:13" ht="13" x14ac:dyDescent="0.3">
      <c r="A7" s="8">
        <v>3</v>
      </c>
      <c r="B7" s="3">
        <v>3</v>
      </c>
      <c r="C7" s="3">
        <v>4</v>
      </c>
      <c r="D7" s="3">
        <v>5</v>
      </c>
      <c r="E7" s="3">
        <v>7</v>
      </c>
      <c r="G7" s="17">
        <v>0</v>
      </c>
      <c r="H7" s="17">
        <v>1</v>
      </c>
      <c r="I7" s="17">
        <v>0</v>
      </c>
      <c r="J7" s="17">
        <v>0</v>
      </c>
      <c r="K7">
        <f t="shared" si="0"/>
        <v>1</v>
      </c>
      <c r="L7" s="18" t="s">
        <v>68</v>
      </c>
      <c r="M7">
        <v>1</v>
      </c>
    </row>
    <row r="8" spans="1:13" ht="13" x14ac:dyDescent="0.3">
      <c r="A8" s="8">
        <v>4</v>
      </c>
      <c r="B8" s="3">
        <v>12</v>
      </c>
      <c r="C8" s="3">
        <v>18</v>
      </c>
      <c r="D8" s="3">
        <v>40</v>
      </c>
      <c r="E8" s="3">
        <v>20</v>
      </c>
      <c r="G8" s="17">
        <v>0</v>
      </c>
      <c r="H8" s="17">
        <v>0</v>
      </c>
      <c r="I8" s="17">
        <v>1</v>
      </c>
      <c r="J8" s="17">
        <v>0</v>
      </c>
      <c r="K8">
        <f t="shared" si="0"/>
        <v>1</v>
      </c>
      <c r="L8" s="18" t="s">
        <v>68</v>
      </c>
      <c r="M8">
        <v>1</v>
      </c>
    </row>
    <row r="9" spans="1:13" ht="13" x14ac:dyDescent="0.3">
      <c r="A9" s="8">
        <v>5</v>
      </c>
      <c r="B9" s="3">
        <v>3</v>
      </c>
      <c r="C9" s="3">
        <v>6</v>
      </c>
      <c r="D9" s="3">
        <v>8</v>
      </c>
      <c r="E9" s="3">
        <v>0</v>
      </c>
      <c r="G9" s="17">
        <v>0</v>
      </c>
      <c r="H9" s="17">
        <v>0</v>
      </c>
      <c r="I9" s="17">
        <v>1</v>
      </c>
      <c r="J9" s="17">
        <v>0</v>
      </c>
      <c r="K9">
        <f t="shared" si="0"/>
        <v>1</v>
      </c>
      <c r="L9" s="18" t="s">
        <v>68</v>
      </c>
      <c r="M9">
        <v>1</v>
      </c>
    </row>
    <row r="10" spans="1:13" ht="13" x14ac:dyDescent="0.3">
      <c r="A10" s="8">
        <v>6</v>
      </c>
      <c r="B10" s="3">
        <v>18</v>
      </c>
      <c r="C10" s="3">
        <v>0</v>
      </c>
      <c r="D10" s="3">
        <v>12</v>
      </c>
      <c r="E10" s="3">
        <v>3</v>
      </c>
      <c r="G10" s="17">
        <v>1</v>
      </c>
      <c r="H10" s="17">
        <v>0</v>
      </c>
      <c r="I10" s="17">
        <v>0</v>
      </c>
      <c r="J10" s="17">
        <v>0</v>
      </c>
      <c r="K10">
        <f t="shared" si="0"/>
        <v>1</v>
      </c>
      <c r="L10" s="18" t="s">
        <v>68</v>
      </c>
      <c r="M10">
        <v>1</v>
      </c>
    </row>
    <row r="11" spans="1:13" ht="13" x14ac:dyDescent="0.3">
      <c r="A11" s="8">
        <v>7</v>
      </c>
      <c r="B11" s="3">
        <v>25</v>
      </c>
      <c r="C11" s="3">
        <v>8</v>
      </c>
      <c r="D11" s="3">
        <v>15</v>
      </c>
      <c r="E11" s="3">
        <v>4</v>
      </c>
      <c r="G11" s="17">
        <v>1</v>
      </c>
      <c r="H11" s="17">
        <v>0</v>
      </c>
      <c r="I11" s="17">
        <v>0</v>
      </c>
      <c r="J11" s="17">
        <v>0</v>
      </c>
      <c r="K11">
        <f t="shared" si="0"/>
        <v>1</v>
      </c>
      <c r="L11" s="18" t="s">
        <v>68</v>
      </c>
      <c r="M11">
        <v>1</v>
      </c>
    </row>
    <row r="12" spans="1:13" ht="13" x14ac:dyDescent="0.3">
      <c r="A12" s="8">
        <v>8</v>
      </c>
      <c r="B12" s="3">
        <v>49</v>
      </c>
      <c r="C12" s="3">
        <v>51</v>
      </c>
      <c r="D12" s="3">
        <v>40</v>
      </c>
      <c r="E12" s="3">
        <v>18</v>
      </c>
      <c r="G12" s="17">
        <v>1</v>
      </c>
      <c r="H12" s="17">
        <v>0</v>
      </c>
      <c r="I12" s="17">
        <v>0</v>
      </c>
      <c r="J12" s="17">
        <v>0</v>
      </c>
      <c r="K12">
        <f t="shared" si="0"/>
        <v>1</v>
      </c>
      <c r="L12" s="18" t="s">
        <v>68</v>
      </c>
      <c r="M12">
        <v>1</v>
      </c>
    </row>
    <row r="13" spans="1:13" ht="13" x14ac:dyDescent="0.3">
      <c r="A13" s="8">
        <v>9</v>
      </c>
      <c r="B13" s="3">
        <v>0</v>
      </c>
      <c r="C13" s="3">
        <v>10</v>
      </c>
      <c r="D13" s="3">
        <v>20</v>
      </c>
      <c r="E13" s="3">
        <v>3</v>
      </c>
      <c r="G13" s="17">
        <v>1</v>
      </c>
      <c r="H13" s="17">
        <v>0</v>
      </c>
      <c r="I13" s="17">
        <v>0</v>
      </c>
      <c r="J13" s="17">
        <v>0</v>
      </c>
      <c r="K13">
        <f t="shared" si="0"/>
        <v>1</v>
      </c>
      <c r="L13" s="18" t="s">
        <v>68</v>
      </c>
      <c r="M13">
        <v>1</v>
      </c>
    </row>
    <row r="14" spans="1:13" ht="13" x14ac:dyDescent="0.3">
      <c r="A14" s="8">
        <v>10</v>
      </c>
      <c r="B14" s="3">
        <v>8</v>
      </c>
      <c r="C14" s="3">
        <v>6</v>
      </c>
      <c r="D14" s="3">
        <v>20</v>
      </c>
      <c r="E14" s="3">
        <v>4</v>
      </c>
      <c r="G14" s="17">
        <v>0</v>
      </c>
      <c r="H14" s="17">
        <v>0</v>
      </c>
      <c r="I14" s="17">
        <v>1</v>
      </c>
      <c r="J14" s="17">
        <v>0</v>
      </c>
      <c r="K14">
        <f t="shared" si="0"/>
        <v>1</v>
      </c>
      <c r="L14" s="18" t="s">
        <v>68</v>
      </c>
      <c r="M14">
        <v>1</v>
      </c>
    </row>
    <row r="15" spans="1:13" ht="13" x14ac:dyDescent="0.3">
      <c r="A15" s="8">
        <v>11</v>
      </c>
      <c r="B15" s="3">
        <v>42</v>
      </c>
      <c r="C15" s="3">
        <v>8</v>
      </c>
      <c r="D15" s="3">
        <v>8</v>
      </c>
      <c r="E15" s="3">
        <v>6</v>
      </c>
      <c r="G15" s="17">
        <v>1</v>
      </c>
      <c r="H15" s="17">
        <v>0</v>
      </c>
      <c r="I15" s="17">
        <v>0</v>
      </c>
      <c r="J15" s="17">
        <v>0</v>
      </c>
      <c r="K15">
        <f t="shared" si="0"/>
        <v>1</v>
      </c>
      <c r="L15" s="18" t="s">
        <v>68</v>
      </c>
      <c r="M15">
        <v>1</v>
      </c>
    </row>
    <row r="16" spans="1:13" ht="13" x14ac:dyDescent="0.3">
      <c r="A16" s="8">
        <v>12</v>
      </c>
      <c r="B16" s="3">
        <v>16</v>
      </c>
      <c r="C16" s="3">
        <v>20</v>
      </c>
      <c r="D16" s="3">
        <v>12</v>
      </c>
      <c r="E16" s="3">
        <v>30</v>
      </c>
      <c r="G16" s="17">
        <v>0</v>
      </c>
      <c r="H16" s="17">
        <v>0</v>
      </c>
      <c r="I16" s="17">
        <v>0</v>
      </c>
      <c r="J16" s="17">
        <v>1</v>
      </c>
      <c r="K16">
        <f t="shared" si="0"/>
        <v>1</v>
      </c>
      <c r="L16" s="18" t="s">
        <v>68</v>
      </c>
      <c r="M16">
        <v>1</v>
      </c>
    </row>
    <row r="17" spans="1:14" ht="13" x14ac:dyDescent="0.3">
      <c r="A17" s="8">
        <v>13</v>
      </c>
      <c r="B17" s="3">
        <v>19</v>
      </c>
      <c r="C17" s="3">
        <v>47</v>
      </c>
      <c r="D17" s="3">
        <v>40</v>
      </c>
      <c r="E17" s="3">
        <v>18</v>
      </c>
      <c r="G17" s="17">
        <v>0</v>
      </c>
      <c r="H17" s="17">
        <v>1</v>
      </c>
      <c r="I17" s="17">
        <v>0</v>
      </c>
      <c r="J17" s="17">
        <v>0</v>
      </c>
      <c r="K17">
        <f t="shared" si="0"/>
        <v>1</v>
      </c>
      <c r="L17" s="18" t="s">
        <v>68</v>
      </c>
      <c r="M17">
        <v>1</v>
      </c>
    </row>
    <row r="18" spans="1:14" ht="13" x14ac:dyDescent="0.3">
      <c r="A18" s="8">
        <v>14</v>
      </c>
      <c r="B18" s="3">
        <v>8</v>
      </c>
      <c r="C18" s="3">
        <v>9</v>
      </c>
      <c r="D18" s="3">
        <v>6</v>
      </c>
      <c r="E18" s="3">
        <v>15</v>
      </c>
      <c r="G18" s="17">
        <v>0</v>
      </c>
      <c r="H18" s="17">
        <v>0</v>
      </c>
      <c r="I18" s="17">
        <v>0</v>
      </c>
      <c r="J18" s="17">
        <v>1</v>
      </c>
      <c r="K18">
        <f t="shared" si="0"/>
        <v>1</v>
      </c>
      <c r="L18" s="18" t="s">
        <v>68</v>
      </c>
      <c r="M18">
        <v>1</v>
      </c>
    </row>
    <row r="19" spans="1:14" ht="13" x14ac:dyDescent="0.3">
      <c r="A19" s="8">
        <v>15</v>
      </c>
      <c r="B19" s="3">
        <v>21</v>
      </c>
      <c r="C19" s="3">
        <v>22</v>
      </c>
      <c r="D19" s="3">
        <v>8</v>
      </c>
      <c r="E19" s="3">
        <v>38</v>
      </c>
      <c r="G19" s="17">
        <v>0</v>
      </c>
      <c r="H19" s="17">
        <v>0</v>
      </c>
      <c r="I19" s="17">
        <v>0</v>
      </c>
      <c r="J19" s="17">
        <v>1</v>
      </c>
      <c r="K19">
        <f t="shared" si="0"/>
        <v>1</v>
      </c>
      <c r="L19" s="18" t="s">
        <v>68</v>
      </c>
      <c r="M19">
        <v>1</v>
      </c>
    </row>
    <row r="20" spans="1:14" ht="13.5" x14ac:dyDescent="0.3">
      <c r="A20" s="8">
        <v>16</v>
      </c>
      <c r="B20" s="3">
        <v>6</v>
      </c>
      <c r="C20" s="3">
        <v>4</v>
      </c>
      <c r="D20" s="3">
        <v>0</v>
      </c>
      <c r="E20" s="3">
        <v>10</v>
      </c>
      <c r="G20" s="17">
        <v>0</v>
      </c>
      <c r="H20" s="17">
        <v>0</v>
      </c>
      <c r="I20" s="17">
        <v>0</v>
      </c>
      <c r="J20" s="17">
        <v>1</v>
      </c>
      <c r="K20">
        <f t="shared" si="0"/>
        <v>1</v>
      </c>
      <c r="L20" s="18" t="s">
        <v>68</v>
      </c>
      <c r="M20">
        <v>1</v>
      </c>
      <c r="N20" s="20"/>
    </row>
    <row r="21" spans="1:14" ht="13.5" x14ac:dyDescent="0.3">
      <c r="A21" s="8">
        <v>17</v>
      </c>
      <c r="B21" s="3">
        <v>17</v>
      </c>
      <c r="C21" s="3">
        <v>9</v>
      </c>
      <c r="D21" s="3">
        <v>16</v>
      </c>
      <c r="E21" s="3">
        <v>5</v>
      </c>
      <c r="G21" s="17">
        <v>1</v>
      </c>
      <c r="H21" s="17">
        <v>0</v>
      </c>
      <c r="I21" s="17">
        <v>0</v>
      </c>
      <c r="J21" s="17">
        <v>0</v>
      </c>
      <c r="K21">
        <f t="shared" si="0"/>
        <v>1</v>
      </c>
      <c r="L21" s="18" t="s">
        <v>68</v>
      </c>
      <c r="M21" s="20">
        <v>1</v>
      </c>
      <c r="N21" s="22"/>
    </row>
    <row r="22" spans="1:14" ht="13" x14ac:dyDescent="0.3">
      <c r="A22" s="8">
        <v>18</v>
      </c>
      <c r="B22" s="3">
        <v>28</v>
      </c>
      <c r="C22" s="3">
        <v>67</v>
      </c>
      <c r="D22" s="3">
        <v>21</v>
      </c>
      <c r="E22" s="3">
        <v>8</v>
      </c>
      <c r="G22" s="17">
        <v>1</v>
      </c>
      <c r="H22" s="17">
        <v>0</v>
      </c>
      <c r="I22" s="17">
        <v>0</v>
      </c>
      <c r="J22" s="17">
        <v>0</v>
      </c>
      <c r="K22">
        <f t="shared" si="0"/>
        <v>1</v>
      </c>
      <c r="L22" s="18" t="s">
        <v>68</v>
      </c>
      <c r="M22">
        <v>1</v>
      </c>
    </row>
    <row r="23" spans="1:14" ht="13" x14ac:dyDescent="0.3">
      <c r="A23" s="8"/>
      <c r="B23" s="3"/>
      <c r="C23" s="3"/>
      <c r="D23" s="3"/>
      <c r="E23" s="3"/>
      <c r="G23">
        <f>SUM(G5:G22)</f>
        <v>8</v>
      </c>
      <c r="H23">
        <f t="shared" ref="H23:J23" si="1">SUM(H5:H22)</f>
        <v>3</v>
      </c>
      <c r="I23">
        <f t="shared" si="1"/>
        <v>3</v>
      </c>
      <c r="J23">
        <f t="shared" si="1"/>
        <v>4</v>
      </c>
    </row>
    <row r="24" spans="1:14" x14ac:dyDescent="0.25">
      <c r="G24" s="18" t="s">
        <v>71</v>
      </c>
      <c r="H24" t="s">
        <v>42</v>
      </c>
      <c r="I24" t="s">
        <v>42</v>
      </c>
      <c r="J24" t="s">
        <v>42</v>
      </c>
    </row>
    <row r="25" spans="1:14" ht="13" x14ac:dyDescent="0.3">
      <c r="F25" s="21" t="s">
        <v>74</v>
      </c>
      <c r="G25">
        <v>2</v>
      </c>
      <c r="H25">
        <v>2</v>
      </c>
      <c r="I25">
        <v>2</v>
      </c>
      <c r="J25">
        <v>2</v>
      </c>
    </row>
    <row r="27" spans="1:14" x14ac:dyDescent="0.25">
      <c r="H27" s="18" t="s">
        <v>70</v>
      </c>
      <c r="I27" t="s">
        <v>69</v>
      </c>
    </row>
    <row r="28" spans="1:14" ht="13" x14ac:dyDescent="0.25">
      <c r="F28" s="20" t="s">
        <v>75</v>
      </c>
      <c r="H28">
        <v>3</v>
      </c>
      <c r="I28">
        <v>3</v>
      </c>
    </row>
    <row r="29" spans="1:14" ht="13" x14ac:dyDescent="0.25">
      <c r="F29" s="18" t="s">
        <v>76</v>
      </c>
      <c r="G29">
        <f>SUM(G14:G15)</f>
        <v>1</v>
      </c>
      <c r="H29">
        <f t="shared" ref="H29:J29" si="2">SUM(H14:H15)</f>
        <v>0</v>
      </c>
      <c r="I29">
        <f t="shared" si="2"/>
        <v>1</v>
      </c>
      <c r="J29">
        <f t="shared" si="2"/>
        <v>0</v>
      </c>
    </row>
    <row r="30" spans="1:14" x14ac:dyDescent="0.25">
      <c r="G30" s="18" t="s">
        <v>70</v>
      </c>
      <c r="H30" s="18" t="s">
        <v>72</v>
      </c>
      <c r="I30" s="18" t="s">
        <v>72</v>
      </c>
      <c r="J30" s="18" t="s">
        <v>72</v>
      </c>
    </row>
    <row r="31" spans="1:14" x14ac:dyDescent="0.25">
      <c r="G31">
        <v>1</v>
      </c>
      <c r="H31">
        <v>1</v>
      </c>
      <c r="I31">
        <v>1</v>
      </c>
      <c r="J31">
        <v>1</v>
      </c>
    </row>
    <row r="32" spans="1:14" ht="13" x14ac:dyDescent="0.25">
      <c r="F32" s="18" t="s">
        <v>77</v>
      </c>
      <c r="G32" s="19">
        <f>SUM(G22,J22)</f>
        <v>1</v>
      </c>
      <c r="H32" s="18" t="s">
        <v>71</v>
      </c>
      <c r="I32">
        <v>1</v>
      </c>
    </row>
    <row r="34" spans="6:10" ht="13" x14ac:dyDescent="0.25">
      <c r="F34" s="23" t="s">
        <v>78</v>
      </c>
      <c r="H34" s="18">
        <f>SUM(H5:H9)</f>
        <v>2</v>
      </c>
      <c r="I34" s="18">
        <f>SUM(I5:I9)</f>
        <v>2</v>
      </c>
      <c r="J34" s="18"/>
    </row>
    <row r="35" spans="6:10" x14ac:dyDescent="0.25">
      <c r="H35" s="18" t="s">
        <v>68</v>
      </c>
      <c r="I35" s="18" t="s">
        <v>68</v>
      </c>
    </row>
    <row r="36" spans="6:10" x14ac:dyDescent="0.25">
      <c r="F36" s="18"/>
      <c r="H36">
        <v>2</v>
      </c>
      <c r="I36">
        <v>2</v>
      </c>
    </row>
    <row r="38" spans="6:10" ht="13" x14ac:dyDescent="0.25">
      <c r="F38" s="20" t="s">
        <v>79</v>
      </c>
      <c r="G38" s="17">
        <v>0</v>
      </c>
    </row>
    <row r="39" spans="6:10" x14ac:dyDescent="0.25">
      <c r="F39" s="18" t="s">
        <v>80</v>
      </c>
      <c r="G39">
        <f>G23</f>
        <v>8</v>
      </c>
    </row>
    <row r="40" spans="6:10" x14ac:dyDescent="0.25">
      <c r="G40">
        <f>4*G38+8*(1-G38)</f>
        <v>8</v>
      </c>
    </row>
    <row r="41" spans="6:10" x14ac:dyDescent="0.25">
      <c r="F41" s="18" t="s">
        <v>81</v>
      </c>
      <c r="G41">
        <f>SUMPRODUCT(B5:E22,G5:J22)</f>
        <v>523</v>
      </c>
    </row>
  </sheetData>
  <mergeCells count="1">
    <mergeCell ref="B3:E3"/>
  </mergeCells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FDC5-14CE-41E6-9DBF-07FC41D185AA}">
  <dimension ref="A1:I14"/>
  <sheetViews>
    <sheetView tabSelected="1" workbookViewId="0">
      <selection activeCell="M16" sqref="M16"/>
    </sheetView>
  </sheetViews>
  <sheetFormatPr defaultRowHeight="12.5" x14ac:dyDescent="0.25"/>
  <sheetData>
    <row r="1" spans="1:9" ht="13" x14ac:dyDescent="0.3">
      <c r="A1" s="27" t="s">
        <v>93</v>
      </c>
      <c r="B1" s="26"/>
      <c r="C1" s="26"/>
      <c r="D1" s="26"/>
      <c r="E1" s="26"/>
    </row>
    <row r="2" spans="1:9" ht="13" x14ac:dyDescent="0.3">
      <c r="A2" s="27"/>
      <c r="B2" s="26" t="s">
        <v>94</v>
      </c>
      <c r="C2" s="26" t="s">
        <v>95</v>
      </c>
      <c r="D2" s="26" t="s">
        <v>96</v>
      </c>
      <c r="E2" s="26" t="s">
        <v>97</v>
      </c>
    </row>
    <row r="3" spans="1:9" x14ac:dyDescent="0.25">
      <c r="A3" s="26" t="s">
        <v>51</v>
      </c>
      <c r="B3" s="26">
        <v>3</v>
      </c>
      <c r="C3" s="26">
        <v>5</v>
      </c>
      <c r="D3" s="26">
        <v>1</v>
      </c>
      <c r="E3" s="26">
        <v>46000</v>
      </c>
      <c r="G3" s="17">
        <v>1</v>
      </c>
      <c r="H3" s="28"/>
      <c r="I3" s="28"/>
    </row>
    <row r="4" spans="1:9" x14ac:dyDescent="0.25">
      <c r="A4" s="26" t="s">
        <v>52</v>
      </c>
      <c r="B4" s="26">
        <v>1</v>
      </c>
      <c r="C4" s="26">
        <v>2</v>
      </c>
      <c r="D4" s="26">
        <v>5</v>
      </c>
      <c r="E4" s="26">
        <v>43000</v>
      </c>
      <c r="G4" s="17">
        <v>1</v>
      </c>
      <c r="H4" s="28"/>
      <c r="I4" s="28"/>
    </row>
    <row r="5" spans="1:9" x14ac:dyDescent="0.25">
      <c r="A5" s="26" t="s">
        <v>53</v>
      </c>
      <c r="B5" s="26">
        <v>3</v>
      </c>
      <c r="C5" s="26">
        <v>4</v>
      </c>
      <c r="D5" s="26">
        <v>2</v>
      </c>
      <c r="E5" s="26">
        <v>47000</v>
      </c>
      <c r="G5" s="17">
        <v>1</v>
      </c>
      <c r="H5" s="28"/>
      <c r="I5" s="28"/>
    </row>
    <row r="6" spans="1:9" x14ac:dyDescent="0.25">
      <c r="A6" s="26" t="s">
        <v>54</v>
      </c>
      <c r="B6" s="26">
        <v>4</v>
      </c>
      <c r="C6" s="26">
        <v>3</v>
      </c>
      <c r="D6" s="26">
        <v>1</v>
      </c>
      <c r="E6" s="26">
        <v>36000</v>
      </c>
      <c r="G6" s="17">
        <v>0</v>
      </c>
      <c r="H6" s="28"/>
      <c r="I6" s="28"/>
    </row>
    <row r="7" spans="1:9" x14ac:dyDescent="0.25">
      <c r="A7" s="26" t="s">
        <v>98</v>
      </c>
      <c r="B7" s="26">
        <v>4</v>
      </c>
      <c r="C7" s="26">
        <v>2</v>
      </c>
      <c r="D7" s="26">
        <v>2</v>
      </c>
      <c r="E7" s="26">
        <v>43000</v>
      </c>
      <c r="G7" s="17">
        <v>0</v>
      </c>
      <c r="H7" s="28"/>
      <c r="I7" s="28"/>
    </row>
    <row r="8" spans="1:9" x14ac:dyDescent="0.25">
      <c r="A8" s="26" t="s">
        <v>99</v>
      </c>
      <c r="B8" s="26">
        <v>1</v>
      </c>
      <c r="C8" s="26">
        <v>3</v>
      </c>
      <c r="D8" s="26">
        <v>4</v>
      </c>
      <c r="E8" s="26">
        <v>55000</v>
      </c>
      <c r="G8" s="17">
        <v>0</v>
      </c>
      <c r="H8" s="28"/>
      <c r="I8" s="28"/>
    </row>
    <row r="9" spans="1:9" x14ac:dyDescent="0.25">
      <c r="A9" s="26" t="s">
        <v>100</v>
      </c>
      <c r="B9" s="26">
        <v>3</v>
      </c>
      <c r="C9" s="26">
        <v>1</v>
      </c>
      <c r="D9" s="26">
        <v>5</v>
      </c>
      <c r="E9" s="26">
        <v>68000</v>
      </c>
      <c r="G9" s="17">
        <v>1</v>
      </c>
      <c r="H9" s="28"/>
      <c r="I9" s="28"/>
    </row>
    <row r="10" spans="1:9" x14ac:dyDescent="0.25">
      <c r="A10" s="26" t="s">
        <v>101</v>
      </c>
      <c r="B10" s="26">
        <v>5</v>
      </c>
      <c r="C10" s="26">
        <v>4</v>
      </c>
      <c r="D10" s="26">
        <v>2</v>
      </c>
      <c r="E10" s="26">
        <v>64000</v>
      </c>
      <c r="G10" s="17">
        <v>1</v>
      </c>
      <c r="H10" s="28"/>
      <c r="I10" s="28"/>
    </row>
    <row r="11" spans="1:9" x14ac:dyDescent="0.25">
      <c r="A11" s="26" t="s">
        <v>102</v>
      </c>
      <c r="B11" s="26">
        <v>3</v>
      </c>
      <c r="C11" s="26">
        <v>3</v>
      </c>
      <c r="D11" s="26">
        <v>3</v>
      </c>
      <c r="E11" s="26">
        <v>60000</v>
      </c>
      <c r="G11" s="17">
        <v>0</v>
      </c>
      <c r="H11" s="28"/>
      <c r="I11" s="28"/>
    </row>
    <row r="12" spans="1:9" x14ac:dyDescent="0.25">
      <c r="B12">
        <f>SUMPRODUCT(B3:B11,G3:G11)</f>
        <v>15</v>
      </c>
      <c r="C12">
        <f>SUMPRODUCT(C3:C11,G3:G11)</f>
        <v>16</v>
      </c>
      <c r="D12">
        <f>SUMPRODUCT(D3:D11,G3:G11)</f>
        <v>15</v>
      </c>
      <c r="F12" s="18" t="s">
        <v>103</v>
      </c>
      <c r="G12">
        <f>SUMPRODUCT(G3:G11,E3:E11)</f>
        <v>268000</v>
      </c>
    </row>
    <row r="13" spans="1:9" x14ac:dyDescent="0.25">
      <c r="B13" s="18" t="s">
        <v>71</v>
      </c>
      <c r="C13" s="18" t="s">
        <v>71</v>
      </c>
      <c r="D13" s="18" t="s">
        <v>71</v>
      </c>
    </row>
    <row r="14" spans="1:9" x14ac:dyDescent="0.25">
      <c r="B14" s="18">
        <v>15</v>
      </c>
      <c r="C14" s="18">
        <v>15</v>
      </c>
      <c r="D14" s="18">
        <v>15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InternetConnection1 (2)</vt:lpstr>
      <vt:lpstr>InternetConnection1NL (2)</vt:lpstr>
      <vt:lpstr>InternetConnection1NL</vt:lpstr>
      <vt:lpstr>InternetConnection1</vt:lpstr>
      <vt:lpstr>BuildBridges</vt:lpstr>
      <vt:lpstr>Salesmen (2)</vt:lpstr>
      <vt:lpstr>swim</vt:lpstr>
      <vt:lpstr>Salesmen</vt:lpstr>
      <vt:lpstr>crew</vt:lpstr>
    </vt:vector>
  </TitlesOfParts>
  <Company>University of Nottingham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Landa-Silva</dc:creator>
  <cp:lastModifiedBy>Mingyuan LIU (20808220)</cp:lastModifiedBy>
  <dcterms:created xsi:type="dcterms:W3CDTF">2007-10-21T20:35:33Z</dcterms:created>
  <dcterms:modified xsi:type="dcterms:W3CDTF">2025-11-05T01:32:38Z</dcterms:modified>
</cp:coreProperties>
</file>